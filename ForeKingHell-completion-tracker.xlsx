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ess summary" sheetId="1" r:id="rId1"/>
    <sheet name="Components" sheetId="2" r:id="rId2"/>
    <sheet name="Work touched" sheetId="3" r:id="rId3"/>
    <sheet name="Routes" sheetId="4" r:id="rId4"/>
  </sheets>
  <definedNames>
    <definedName name="_xlnm.Print_Titles" localSheetId="1">Components!$1:$1</definedName>
    <definedName name="_xlnm.Print_Titles" localSheetId="2">'Work touched'!$1:$1</definedName>
  </definedNames>
  <calcPr calcId="124519" fullCalcOnLoad="1"/>
</workbook>
</file>

<file path=xl/sharedStrings.xml><?xml version="1.0" encoding="utf-8"?>
<sst xmlns="http://schemas.openxmlformats.org/spreadsheetml/2006/main" count="12744" uniqueCount="2702">
  <si>
    <t>ForeKingHell · UI upgrade progress</t>
  </si>
  <si>
    <t>Snapshot: 07 September 2026, 14:08 BST</t>
  </si>
  <si>
    <t>UI-first delivery: implemented UI is shown first below. Acceptance is tracked separately and remains pending until its checks pass. Filter Components or open Work touched for the exact changes and evidence. Source: ForeKingHell-completion-tracker.csv.</t>
  </si>
  <si>
    <t>Status</t>
  </si>
  <si>
    <t>Desktop</t>
  </si>
  <si>
    <t>Mobile</t>
  </si>
  <si>
    <t>UI implemented · checks pending</t>
  </si>
  <si>
    <t>In progress (concurrent redesign)</t>
  </si>
  <si>
    <t>In progress</t>
  </si>
  <si>
    <t>Not started</t>
  </si>
  <si>
    <t>Acceptance passed</t>
  </si>
  <si>
    <t>Components passed on both surfaces</t>
  </si>
  <si>
    <t>Total components</t>
  </si>
  <si>
    <t>Documented routes</t>
  </si>
  <si>
    <t>Read the Desktop evidence, Mobile evidence and Blockers columns before treating a component as finished. Workbook values are refreshed by scripts/export-ui-upgrade-workbook.py; edits here do not write back to the CSV.</t>
  </si>
  <si>
    <t>Open all components</t>
  </si>
  <si>
    <t>Open work touched so far</t>
  </si>
  <si>
    <t>Component ID</t>
  </si>
  <si>
    <t>Route</t>
  </si>
  <si>
    <t>Component</t>
  </si>
  <si>
    <t>Priority</t>
  </si>
  <si>
    <t>Desktop status</t>
  </si>
  <si>
    <t>Mobile status</t>
  </si>
  <si>
    <t>Desktop evidence</t>
  </si>
  <si>
    <t>Mobile evidence</t>
  </si>
  <si>
    <t>Blockers / outstanding checks</t>
  </si>
  <si>
    <t>Acceptance</t>
  </si>
  <si>
    <t>Source files</t>
  </si>
  <si>
    <t>Untitled UI reference</t>
  </si>
  <si>
    <t>G01</t>
  </si>
  <si>
    <t>Shared component: all consuming routes</t>
  </si>
  <si>
    <t>Shared layout, typography and tokens</t>
  </si>
  <si>
    <t>P1</t>
  </si>
  <si>
    <t>Implemented; partial verification</t>
  </si>
  <si>
    <t>Single-tree namespaced PageHeader/SectionHeader; semantic metrics/actions retained; UI font overrides consolidated. 59 scoped tests, tsc, eslint pass. G01-goals-1440x900.png and G01-goals-1280x800.png under output/playwright/ui-upgrade.</t>
  </si>
  <si>
    <t>Shared header in explicit workbench Goals passed focus, wrapping and bounds at 390x844,360x800,1023x800,1024x800; screenshots under output/playwright/ui-upgrade. This does not complete the companion Goals task.</t>
  </si>
  <si>
    <t>Paid Simple page/Section headers unavailable; local composition registered. 200% zoom, browser long-content/dynamic states, screen-reader/contrast and theme matrix outstanding. Earlier companion /goals summary blocker resolved by P33 full UI; regression checked in goals UI smoke. Broader shared acceptance remains outstanding.</t>
  </si>
  <si>
    <t>No capped app PageShell, duplicated visible headings, inconsistent unit typography or new !important override cascade.</t>
  </si>
  <si>
    <t>src/components/premium.tsx; src/app/globals.css; DESIGN.md; AGENTS.md</t>
  </si>
  <si>
    <t>https://www.untitledui.com/react/components/page-headers; https://www.untitledui.com/react/components/section-headers</t>
  </si>
  <si>
    <t>G02</t>
  </si>
  <si>
    <t>Desktop sidebar</t>
  </si>
  <si>
    <t>P2</t>
  </si>
  <si>
    <t>output/playwright/ui-upgrade/command-browser.log:1passed11.3s;12companion/workbench viewport renders, API error/retry, long synthetic session result, no-match, Escape/More focus restoration, desktop group collapse/Enter. Screenshots in command/.30 targeted shared tests pass.</t>
  </si>
  <si>
    <t>Full98route-family navigation and entity authorization matrix, screenreader/zoom/themes, saved-item actions remain outstanding. Paid command-menu Actions stacked not available; accessible existing cmdk/Radix composition unified and registered.</t>
  </si>
  <si>
    <t>Search and navigation can reach all 98 route families or their canonical parent tasks; admin entries remain role-gated.</t>
  </si>
  <si>
    <t>src/components/app/workbench-app-shell.tsx; src/components/app/nav-items.ts</t>
  </si>
  <si>
    <t>https://www.untitledui.com/react/components/sidebar-navigations</t>
  </si>
  <si>
    <t>G03</t>
  </si>
  <si>
    <t>Global search and command menu</t>
  </si>
  <si>
    <t>Keyboard shortcuts, selection, Escape and focus restoration work; results retain authorisation and correct entity IDs.</t>
  </si>
  <si>
    <t>src/components/app/global-command-centre.tsx; src/components/app/app-command-menu.tsx</t>
  </si>
  <si>
    <t>https://www.untitledui.com/react/components/command-menus</t>
  </si>
  <si>
    <t>G04</t>
  </si>
  <si>
    <t>Breadcrumbs and top toolbar</t>
  </si>
  <si>
    <t>Workbench chrome and breadcrumbs now wrap within available width with44px controls.</t>
  </si>
  <si>
    <t>Entity breadcrumb audit, nested route context, screen-reader/zoom/theme matrix outstanding.</t>
  </si>
  <si>
    <t>Breadcrumbs preserve parent/entity context and one main content landmark remains.</t>
  </si>
  <si>
    <t>src/components/app/desktop-workbench-chrome.tsx</t>
  </si>
  <si>
    <t>G05</t>
  </si>
  <si>
    <t>Account menu and surface switch</t>
  </si>
  <si>
    <t>Explicit companion body visible at1440x900,1280x800,1024x800; fixed spacing roles and bottom clearance; native switch roundtrip retains query. G05-today-companion-* screenshots under output/playwright/ui-upgrade.</t>
  </si>
  <si>
    <t>Companion body visible at390x844,360x800,1023x800; More switch preserves route/query; native links retain beforeunload support. Same G05 screenshot set and browser-final.log.</t>
  </si>
  <si>
    <t>Unsaved drafts on routes without DirtyFormBar, long account identity/avatar-error fixtures, full account action outcomes, screen-reader/zoom/theme checks outstanding. No new React Aria account adapter installed.</t>
  </si>
  <si>
    <t>At 1023/1024px and after an explicit surface choice there is exactly one visible usable main view, with no hydration or redirect loop.</t>
  </si>
  <si>
    <t>src/components/app/private-app-shell.tsx; src/components/app/app-surface-link.tsx; src/lib/app-surface-server.ts; src/components/app/mobile-screen.tsx</t>
  </si>
  <si>
    <t>https://www.untitledui.com/react/components/avatars; https://www.untitledui.com/react/components/badges; https://www.untitledui.com/react/components/dropdowns</t>
  </si>
  <si>
    <t>G06</t>
  </si>
  <si>
    <t>Mobile bottom tabs and More navigation</t>
  </si>
  <si>
    <t>Searchable More includes all authorised desktop canonical nav tasks plus Privacy; admin items use server role. Wide companion drawer bounded; 1440,1280,1024 browser search/empty/Escape-focus/44px target checks pass.</t>
  </si>
  <si>
    <t>Same checks pass390x844,360x800,1023x800; five existing tabs preserved. G06-more-* screenshots under output/playwright/ui-upgrade. Unit tests verify player/admin navigation coverage and uniqueness.</t>
  </si>
  <si>
    <t>Many destination tasks still use mobile handoff/summary; this does not complete those tasks. 98-route destination/redirect audit, physical keyboard/safe-area, screen-reader, zoom and dark/contrast matrix remain outstanding.</t>
  </si>
  <si>
    <t>44px targets, safe-area padding, active labels, focus trap and return-to-trigger work; no destination is silently dropped.</t>
  </si>
  <si>
    <t>src/components/app/companion-app-shell.tsx; src/components/app/mobile-nav.tsx; src/components/mobile-tab-bar.tsx; src/lib/app-route-capabilities.ts</t>
  </si>
  <si>
    <t>G07</t>
  </si>
  <si>
    <t>Notification centre</t>
  </si>
  <si>
    <t xml:space="preserve"> Standards-mode notification fixture passes server-confirmed read/failure/reload,dates/focus/bounds at1440/1280/1024; fixtures-final-browser.log.151isolated shared units and isolated Next typegen/tsc pass.</t>
  </si>
  <si>
    <t xml:space="preserve"> Same fixture passes390/360/1023 with visible close and preserved unread state on failure. No live personal mutations; fixtures-final-browser.log.</t>
  </si>
  <si>
    <t>Implementation in active working tree; browser, types/lint and full acceptance pending. See UI-UPGRADE-PROGRESS.md continuation.</t>
  </si>
  <si>
    <t>Counts and read state update from the server; opening one notification reaches the correct authorised entity.</t>
  </si>
  <si>
    <t>src/components/app/workbench/notification-centre.tsx</t>
  </si>
  <si>
    <t>https://www.untitledui.com/react/components/drawers; https://www.untitledui.com/react/components/section-footers</t>
  </si>
  <si>
    <t>G08</t>
  </si>
  <si>
    <t>Saved views, columns, density, export and copy link</t>
  </si>
  <si>
    <t>Saved-view/column/density/export/copy toolbar exposed at all widths;44px controls and natural wrapping. Existing scope and persistence retained.</t>
  </si>
  <si>
    <t>Every consuming table/export/persistence flow and companion-specific task verification outstanding.</t>
  </si>
  <si>
    <t>Every consuming table is checked; no toolbar button is a decorative no-op or silently exports the wrong scope.</t>
  </si>
  <si>
    <t>src/components/app/desktop-workbench-controls.tsx</t>
  </si>
  <si>
    <t>https://www.untitledui.com/react/components/tables; https://www.untitledui.com/react/components/paginations</t>
  </si>
  <si>
    <t>G09</t>
  </si>
  <si>
    <t>Chart and specialist golf-visual accessibility</t>
  </si>
  <si>
    <t>Detail drawer explicit44px Close; chart fallback semantic numeric/unit headers and shared CSV formula sanitization. Specialist renderers retained.</t>
  </si>
  <si>
    <t>Selection consistency, renderer-failure, reduced-motion and every visual/table consumer matrix outstanding.</t>
  </si>
  <si>
    <t>Selected entities remain consistent across visual/table/rail and reduced-motion/render failure has a usable fallback.</t>
  </si>
  <si>
    <t>src/components/app/chart-accessible-fallback.tsx; src/components/app/responsive-detail-panel.tsx</t>
  </si>
  <si>
    <t>https://www.untitledui.com/react/components/section-headers; https://www.untitledui.com/react/components/select; https://www.untitledui.com/react/components/tooltips</t>
  </si>
  <si>
    <t>G10</t>
  </si>
  <si>
    <t>Shared forms and confirmation behaviour</t>
  </si>
  <si>
    <t>output/playwright/ui-upgrade/forms-browser.log:1passed11.2s all6sizes; confirmed native name/value, required validation, onClick, failed-save retention, focus/visible final field above footer; React Aria text/select/submit names and current value APIs. Full caller acceptance not claimed. Shared commit8a970995;151tests pass in isolated staged snapshot and types pass after Next typegen. PWA notice moved inside shell to avoid chrome overlap; initial queue loading distinguished from failure.</t>
  </si>
  <si>
    <t>output/playwright/ui-upgrade/forms-browser.log:1passed11.2s all6sizes; confirmed native name/value, required validation, onClick, failed-save retention, focus/visible final field above footer; React Aria text/select/submit names and current value APIs. Full caller acceptance not claimed.</t>
  </si>
  <si>
    <t>Native and React Aria fixture passes; full caller draft/navigation, screenreader, theme/zoom and software-keyboard matrix outstanding. Paid modal code unavailable; accessible local Radix alternative registered.</t>
  </si>
  <si>
    <t>React Aria event/value APIs are intentionally mapped; no blind Radix prop substitution, duplicate submit or lost draft.</t>
  </si>
  <si>
    <t>src/components/app/confirm-submit-button.tsx; src/components/app/dirty-form-bar.tsx; src/components/ui/input.tsx; src/components/ui/select.tsx; src/components/ui/dialog.tsx</t>
  </si>
  <si>
    <t>https://www.untitledui.com/react/components/modals; https://www.untitledui.com/react/components/buttons</t>
  </si>
  <si>
    <t>G11</t>
  </si>
  <si>
    <t>Route loading, error and not-found boundaries</t>
  </si>
  <si>
    <t>Inventoried91route boundaries; shared loading status and responsive grid, error recovery links on wide companion,44px actions.</t>
  </si>
  <si>
    <t>Per-route state fixtures, fault injection and complete viewport/AT/theme checks outstanding. Inventory alone is not acceptance.</t>
  </si>
  <si>
    <t>Inspect every existing loading.tsx, error.tsx, not-found.tsx and global-error.tsx; no failed route becomes a hidden blank body.</t>
  </si>
  <si>
    <t>src/components/app/app-error-state.tsx; src/components/app/app-loading-skeleton.tsx; src/components/segment-error-state.tsx; src/app/global-error.tsx</t>
  </si>
  <si>
    <t>https://www.untitledui.com/react/components/empty-states; https://www.untitledui.com/react/components/loading-indicators; https://www.untitledui.com/react/components/alerts</t>
  </si>
  <si>
    <t>G12</t>
  </si>
  <si>
    <t>Install and update prompts</t>
  </si>
  <si>
    <t xml:space="preserve"> Shared commit8a970995;151tests pass in isolated staged snapshot and types pass after Next typegen. PWA notice moved inside shell to avoid chrome overlap; initial queue loading distinguished from failure.</t>
  </si>
  <si>
    <t>Dismissal behaves consistently across reload/navigation according to a defined policy and update actions preserve unsynced work.</t>
  </si>
  <si>
    <t>src/components/pwa-register.tsx</t>
  </si>
  <si>
    <t>https://www.untitledui.com/react/components/alerts; https://www.untitledui.com/react/components/notifications</t>
  </si>
  <si>
    <t>G13</t>
  </si>
  <si>
    <t>Offline queue and sync status</t>
  </si>
  <si>
    <t>No cross-account cache leakage, silent lost queue item or false synced state after partial failure.</t>
  </si>
  <si>
    <t>src/components/app/companion-sync-status.tsx; src/components/pwa-register.tsx</t>
  </si>
  <si>
    <t>G14</t>
  </si>
  <si>
    <t>Status labels and achievement feedback</t>
  </si>
  <si>
    <t>Status pills naturally wrap; achievement notices moved into normal flow, neutral cards/tier labels; hover/focus pauses dismissal.</t>
  </si>
  <si>
    <t>Long-content/queued-toast/timing browser fixtures, theme/AT/zoom checks outstanding.</t>
  </si>
  <si>
    <t>Colour is not the only status signal, large numbers wrap safely and duplicate unlock notifications are prevented.</t>
  </si>
  <si>
    <t>src/components/premium.tsx; src/components/achievement-notifications.tsx</t>
  </si>
  <si>
    <t>P01-C01</t>
  </si>
  <si>
    <t>/progress</t>
  </si>
  <si>
    <t>Progress heading and score explanation</t>
  </si>
  <si>
    <t>One shared Progress title and current composite snapshot; unchanged golf calculation; no missing-evidence zero. Types pass; browser matrix running.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</si>
  <si>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One shared Progress title and current composite snapshot; unchanged golf calculation; no missing-evidence zero. Types pass; browser matrix running.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</si>
  <si>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Partial acceptance: physical software keyboard/safe-area and screen-reader interaction, native browser200% zoom, full loading/service-error/empty scenario matrix and end-to-end destination task checks remain outstanding. Shared inherited acceptance remains tracked separately.</t>
  </si>
  <si>
    <t>A score of zero and no change render accurately; no negative zero or claim of improvement when the selected evidence is unchanged.</t>
  </si>
  <si>
    <t>src/app/(app)/progress/page.tsx</t>
  </si>
  <si>
    <t>P01-C02</t>
  </si>
  <si>
    <t>Performance, Goals, Load and Timeline navigation</t>
  </si>
  <si>
    <t>Same four React Aria Underline tabs on both surfaces; validated URL state retains comparison/date/hash; Scoring retained under Performance and full existing timeline available on companion.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</si>
  <si>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Same four React Aria Underline tabs on both surfaces; validated URL state retains comparison/date/hash; Scoring retained under Performance and full existing timeline available on companion.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</si>
  <si>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Reload and Back/Forward restore the selected tab and comparison; each tab has a labelled panel.</t>
  </si>
  <si>
    <t>src/app/(app)/progress/page.tsx; src/components/ui/tabs.tsx; src/app/progress/progress-companion.tsx</t>
  </si>
  <si>
    <t>https://www.untitledui.com/react/components/tabs</t>
  </si>
  <si>
    <t>P01-C03</t>
  </si>
  <si>
    <t>Club, measure and period comparison controls</t>
  </si>
  <si>
    <t>Owner-filtered dated session comparison with carry/total/control, search/count, period drawer Apply/Reset/Clear; explicit invalid club/measure/date errors, no fallback for requested unavailable club.5pure tests pass.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</si>
  <si>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Owner-filtered dated session comparison with carry/total/control, search/count, period drawer Apply/Reset/Clear; explicit invalid club/measure/date errors, no fallback for requested unavailable club.5pure tests pass.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</si>
  <si>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Opening David's exact supplied URL visibly reflects its valid comparison scope or explicitly reports an unavailable club. No hard-coded Driver fallback.</t>
  </si>
  <si>
    <t>https://www.untitledui.com/react/components/filter-bars; https://www.untitledui.com/react/components/drawers; https://www.untitledui.com/react/components/date-pickers</t>
  </si>
  <si>
    <t>P01-C04</t>
  </si>
  <si>
    <t>Historical performance trend</t>
  </si>
  <si>
    <t>Removed reconstructed score-minus-momentum trend. Current composite explicitly has no stored history; measured dated session list supports tap selection/source counts/table, steady equal values and sparse states.5pure tests pass.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</si>
  <si>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Removed reconstructed score-minus-momentum trend. Current composite explicitly has no stored history; measured dated session list supports tap selection/source counts/table, steady equal values and sparse states.5pure tests pass.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</si>
  <si>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Every plotted point maps to real evidence and a defined calculation window. Two identical values are described as steady, not forward.</t>
  </si>
  <si>
    <t>https://www.untitledui.com/react/components/line-bar-charts</t>
  </si>
  <si>
    <t>P01-C05</t>
  </si>
  <si>
    <t>Seven-day evidence strip</t>
  </si>
  <si>
    <t>Adjacent7-day windows rank only measured lateral-miss changes with &gt;=3values per session; same weekly component on both surfaces, explicit UTC windows/counts/source links. Future records excluded. Current practice priority separated from decline. 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</si>
  <si>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Same measured weekly evidence component and single practice recommendation as desktop. 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</si>
  <si>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The headline blocker and first recommended practice item agree; a practice priority is not falsely labelled the largest weekly decline.</t>
  </si>
  <si>
    <t>https://www.untitledui.com/react/components/metrics; https://www.untitledui.com/react/components/tooltips</t>
  </si>
  <si>
    <t>P01-C06</t>
  </si>
  <si>
    <t>Primary blocker and next practice callout</t>
  </si>
  <si>
    <t>Both surfaces select the first existing practice priority via one helper; reason/confidence/sample and club-targeted Practice URL agree. Removed unconditional unrelated Driver panel/diagnosis from Progress.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</si>
  <si>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Both surfaces select the first existing practice priority via one helper; reason/confidence/sample and club-targeted Practice URL agree. Removed unconditional unrelated Driver panel/diagnosis from Progress.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</si>
  <si>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A single authoritative selector determines the blocker across the headline, card and destination parameters.</t>
  </si>
  <si>
    <t>https://www.untitledui.com/react/components/section-headers; https://www.untitledui.com/react/components/badges; https://www.untitledui.com/react/components/buttons</t>
  </si>
  <si>
    <t>P01-C07</t>
  </si>
  <si>
    <t>Measured goal progress</t>
  </si>
  <si>
    <t>All saved goals now appear; desktop includes evidence source, honest saved-state explanation and edit link, matching companion values; natural wrapping and units retained.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</si>
  <si>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All saved goals now appear; desktop includes evidence source, honest saved-state explanation and edit link, matching companion values; natural wrapping and units retained.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</si>
  <si>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Goal figures match /goals for the same saved state; empty goals offer creation.</t>
  </si>
  <si>
    <t>P01-C08</t>
  </si>
  <si>
    <t>Training load story and history</t>
  </si>
  <si>
    <t>Selectable7d/4w/3m/6m/1y URL range, existing training selector/renderer, date inspection and semantic table; missing values remain unavailable. 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</si>
  <si>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Existing mobile renderer retained; same range/date values/table and readiness advice with workload explanation. 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</si>
  <si>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Values agree with /stats/training-over-time and unsupported dates remain gaps.</t>
  </si>
  <si>
    <t>src/app/(app)/progress/page.tsx; src/components/progress/progress-training-load-chart.tsx</t>
  </si>
  <si>
    <t>P01-C09</t>
  </si>
  <si>
    <t>Evidence timeline</t>
  </si>
  <si>
    <t>Chronological event IDs preserve repeated titles, stable equal-timestamp ordering, scoped source links; six saved snapshots and loaded year explicitly labelled. Goal-specific edit dates unavailable and not inferred from unrelated preferences.  App matrix passes1440x900/1280x800/1024x800; four URL tabs, exact audited unavailable club, Back/Forward/reload, keyboard Arrow/Home. Scoped axe0 at1440. output/playwright/ui-upgrade/progress-final-browser.log1passed49.2s, per-tab screenshots in progress-final. Final timeline fixture passes6sizes:12→15pagination preserves duplicate titles by ID; event filter returns8Practice records; dark CSS200%zoom layout at1440/360 checked. progress-controls-final-browser.log1passed7.7s. This CSS zoom check does not certify native browser zoom.</t>
  </si>
  <si>
    <t>Same full stream; compact header, Event type filter and Load more12at-a-time implemented after initial app matrix. Final pagination fixture running. 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 Same final pagination/filter/long-content test passes all6sizes; screenshot P01-timeline-360.png. Compact header now exposes actual events sooner.</t>
  </si>
  <si>
    <t>Partial acceptance: physical software keyboard/safe-area and screen-reader interaction, native browser200% zoom, full loading/service-error/empty scenario matrix and end-to-end destination task checks remain outstanding. Shared inherited acceptance remains tracked separately. historical goal edit timestamps do not exist.</t>
  </si>
  <si>
    <t>Every item links to the correct accessible entity, with stable ordering for equal timestamps.</t>
  </si>
  <si>
    <t>https://www.untitledui.com/react/components/activity-feeds; https://www.untitledui.com/react/components/dropdowns</t>
  </si>
  <si>
    <t>P01-C10</t>
  </si>
  <si>
    <t>First baseline and incomplete evidence states</t>
  </si>
  <si>
    <t>Empty evidence retains Goals/Load/Timeline; current snapshot distinguishes missing evidence from zero; comparison distinguishes unavailable club, invalid period, no matches and missing measured fields. App matrix passes1440x900/1280x800/1024x800; four URL tabs, exact audited unavailable club, Back/Forward/reload, keyboard Arrow/Home. Scoped axe0 at1440. output/playwright/ui-upgrade/progress-final-browser.log1passed49.2s, per-tab screenshots in progress-final.</t>
  </si>
  <si>
    <t>Empty evidence retains Goals/Load/Timeline; current snapshot distinguishes missing evidence from zero; comparison distinguishes unavailable club, invalid period, no matches and missing measured fields. Same app matrix passes390x844/360x800/1023x800 in explicit companion and workbench; scoped axe0 at360, screenshots in progress-final. Standards-mode control fixture covers long names,zero/steady,carry versus total,period Apply/Reset and source table at all6sizes; fixtures-final-browser.log3passed26.5s.</t>
  </si>
  <si>
    <t>No empty chart, invented zero score or desktop handoff substitutes for missing evidence.</t>
  </si>
  <si>
    <t>P02-C01</t>
  </si>
  <si>
    <t>/today</t>
  </si>
  <si>
    <t>Today title and latest-session answer</t>
  </si>
  <si>
    <t>Compact Today header, latest-session answer retained, extra hero heading changed to h2.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</si>
  <si>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Today UI batch under final quick checks. Browser viewport/long/empty/loading/error/selection/action acceptance deferred to integration pass; no complete claim. One runtime JSON pageerror needs attribution/fix; native zoom/AT, complete correction and dynamic-state acceptance deferred. UI implemented does not mean accepted.</t>
  </si>
  <si>
    <t>One visible h1; latest session date/type matches its linked record.</t>
  </si>
  <si>
    <t>src/app/(app)/today/page.tsx; src/app/(app)/today/today-companion-page.tsx</t>
  </si>
  <si>
    <t>P02-C02</t>
  </si>
  <si>
    <t>Driver development summary on Today</t>
  </si>
  <si>
    <t>Driver signal now context-dependent and disclosed below the main answer.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</si>
  <si>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No contradiction with /speed or duplicated primary page title.</t>
  </si>
  <si>
    <t>src/app/(app)/today/page.tsx; src/components/analysis/driver-development-panel.tsx</t>
  </si>
  <si>
    <t>P02-C03</t>
  </si>
  <si>
    <t>Overview, Practice, Evidence and Data quality tabs</t>
  </si>
  <si>
    <t>Controlled namespaced four-section tabs preserve URL query and mounted panel state; equivalent phone tasks added.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</si>
  <si>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All four content areas have a functional destination on both surfaces.</t>
  </si>
  <si>
    <t>src/app/(app)/today/page.tsx; src/components/ui/tabs.tsx</t>
  </si>
  <si>
    <t>P02-C04</t>
  </si>
  <si>
    <t>Latest verdict, change and scoring trust</t>
  </si>
  <si>
    <t>Existing verdict/scoring readouts retained with explicit directional limitation beside the affected evidence.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</si>
  <si>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A distance-valid but alignment-limited session keeps its valid distance evidence and warning.</t>
  </si>
  <si>
    <t>src/app/(app)/today/page.tsx; src/components/app/today-primary-answer.tsx</t>
  </si>
  <si>
    <t>P02-C05</t>
  </si>
  <si>
    <t>Shot patterns and dispersion</t>
  </si>
  <si>
    <t>Original renderers retained; explicit shot selector complements plot interactions; mobile includes raw evidence with trust filtering.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</si>
  <si>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Selected shot ID stays consistent across plot, table and rail.</t>
  </si>
  <si>
    <t>src/app/(app)/today/page.tsx; src/app/today/today-shot-charts.tsx; src/components/app/mobile-shot-pattern-charts.tsx</t>
  </si>
  <si>
    <t>P02-C06</t>
  </si>
  <si>
    <t>Selected shot details</t>
  </si>
  <si>
    <t>Selected-shot source/history now reachable in bounded mobile drawer with visible close and shared review rail.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</si>
  <si>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Missing measurements display as unavailable, never zero.</t>
  </si>
  <si>
    <t>src/app/(app)/today/page.tsx; src/app/today/today-shot-charts.tsx; src/app/today/today-selected-shot-rail.tsx</t>
  </si>
  <si>
    <t>P02-C07</t>
  </si>
  <si>
    <t>Shot evidence and review actions</t>
  </si>
  <si>
    <t>Phone selected-shot rail exposes reversible review and existing owner-scoped club correction; raw source preserved.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</si>
  <si>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Excluding is reversible, original data remains available and affected summaries refresh consistently.</t>
  </si>
  <si>
    <t>src/app/(app)/today/page.tsx; src/app/shots/shots-master-detail-table.tsx</t>
  </si>
  <si>
    <t>P02-C08</t>
  </si>
  <si>
    <t>Alignment and data-quality checks</t>
  </si>
  <si>
    <t>Session-specific alignment/direction warnings distinguish limited lateral evidence from valid carry/total/speed.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</si>
  <si>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Alignment concerns do not silently invalidate trustworthy carry or ball-speed data.</t>
  </si>
  <si>
    <t>src/app/(app)/today/page.tsx</t>
  </si>
  <si>
    <t>P02-C09</t>
  </si>
  <si>
    <t>Practice prescription, club performance and current loop</t>
  </si>
  <si>
    <t>Existing plan/result and recommendation actions retained together in Practice; no new default drill. UI implementation applied; quick checks pending. UI smoke exercised both surfaces at 1440x900,1280x800,390x844,360x800,1023x800,1024x800: all four tabs, one h1, retained-panel visibility and no page overflow assertions passed; 12 screenshots in today-ui-ready. Overall smoke failed on one Unexpected end of JSON input pageerror; cause outstanding. Lint/types pass before final history/readiness refinement.</t>
  </si>
  <si>
    <t>The CTA carries the same club/focus and uses saved evidence, not a generic default drill.</t>
  </si>
  <si>
    <t>P03-C01</t>
  </si>
  <si>
    <t>/dashboard</t>
  </si>
  <si>
    <t>Dashboard overview and priority</t>
  </si>
  <si>
    <t>Compact full-width Dashboard with the same complete task and section links on both surfaces; removed phone redirect and desktop-only handoff. App smoke passed 11.2s: both surfaces at all six sizes, one h1, sections visible, no overflow/pageerrors; 12 screenshots dashboard-ui-smoke. Lint/types pass; 15 route/capability tests pass.</t>
  </si>
  <si>
    <t>Full keyboard/AT/native zoom, dynamic states and saved-plan/speed fixture consistency checks remain outstanding. Paid metrics example unavailable; local semantic metric composition registered. Browser smoke does not cover every interaction.</t>
  </si>
  <si>
    <t>Mobile /dashboard shows useful content and chosen actions without silently redirecting to Today.</t>
  </si>
  <si>
    <t>src/app/(app)/dashboard/page.tsx</t>
  </si>
  <si>
    <t>P03-C02</t>
  </si>
  <si>
    <t>Driver and speed status</t>
  </si>
  <si>
    <t>Speed Centre summary reused; source/sample-labelled no-ball, transfer, playing and course metrics; actual driver confidence disclosure. App smoke passed 11.2s: both surfaces at all six sizes, one h1, sections visible, no overflow/pageerrors; 12 screenshots dashboard-ui-smoke. Lint/types pass; 15 route/capability tests pass.</t>
  </si>
  <si>
    <t>The same saved speed session produces the same summary on Dashboard and Speed Centre.</t>
  </si>
  <si>
    <t>src/app/(app)/dashboard/page.tsx; src/components/analysis/driver-development-panel.tsx</t>
  </si>
  <si>
    <t>P03-C03</t>
  </si>
  <si>
    <t>Recommended practice</t>
  </si>
  <si>
    <t>Saved plan ID or focused club/source-session practice handoff; specific drill/reason/duration/evidence. No fake completed balls or analytics link labelled Start. App smoke passed 11.2s: both surfaces at all six sizes, one h1, sections visible, no overflow/pageerrors; 12 screenshots dashboard-ui-smoke. Lint/types pass; 15 route/capability tests pass.</t>
  </si>
  <si>
    <t>Starting the plan retains its specific target and evidence context.</t>
  </si>
  <si>
    <t>P03-C04</t>
  </si>
  <si>
    <t>Since last session</t>
  </si>
  <si>
    <t>Dated per-club measured comparisons shared with Progress; source counts, selected measurement, date filter, tap detail and table; no fictional baseline delta. App smoke passed 11.2s: both surfaces at all six sizes, one h1, sections visible, no overflow/pageerrors; 12 screenshots dashboard-ui-smoke. Lint/types pass; 15 route/capability tests pass.</t>
  </si>
  <si>
    <t>No comparison appears without a compatible baseline.</t>
  </si>
  <si>
    <t>P03-C05</t>
  </si>
  <si>
    <t>Club selector and delivery chart</t>
  </si>
  <si>
    <t>Desktop Aria club select and mobile searchable sheet; chart/diagnosis/sample share selection ID; text metrics/full accessible fallback retained. App smoke passed 11.2s: both surfaces at all six sizes, one h1, sections visible, no overflow/pageerrors; 12 screenshots dashboard-ui-smoke. Lint/types pass; 15 route/capability tests pass.</t>
  </si>
  <si>
    <t>Changing club updates visual, sample count and diagnosis together.</t>
  </si>
  <si>
    <t>src/app/(app)/dashboard/page.tsx; src/app/dashboard/face-path-club-selector.tsx</t>
  </si>
  <si>
    <t>P03-C06</t>
  </si>
  <si>
    <t>Round readiness and next action</t>
  </si>
  <si>
    <t>Actual permitted course hole/tee counts, trusted bag and dated recent evidence with repair actions; removed cosmetic percentage. App smoke passed 11.2s: both surfaces at all six sizes, one h1, sections visible, no overflow/pageerrors; 12 screenshots dashboard-ui-smoke. Lint/types pass; 15 route/capability tests pass.</t>
  </si>
  <si>
    <t>Readiness comes from existing conditions rather than a cosmetic progress percentage.</t>
  </si>
  <si>
    <t>P03-C07</t>
  </si>
  <si>
    <t>First-run and unavailable-service states</t>
  </si>
  <si>
    <t>User-facing service recovery and first-import empty state; setup variables not exposed. App smoke passed 11.2s: both surfaces at all six sizes, one h1, sections visible, no overflow/pageerrors; 12 screenshots dashboard-ui-smoke. Lint/types pass; 15 route/capability tests pass.</t>
  </si>
  <si>
    <t>No raw DATABASE_URL setup instructions appear to ordinary users.</t>
  </si>
  <si>
    <t>P04-C01</t>
  </si>
  <si>
    <t>/sessions</t>
  </si>
  <si>
    <t>History header and import action</t>
  </si>
  <si>
    <t>Shared compact History title/import; URL search/type/source/club/period filters, active chips and Clear all; mobile Apply/Reset sheet; chronological IDs and selected preview preserved; paginated owner-scoped shot measurements, full source/history sheet, scoped CSV; older-history load control. 12 filter/view unit checks pass. App UI smoke passed13.0s: both surfaces six sizes, search/no-match/reset, 390px full shot sheet, inaccessible UUID404; no overflow/pageerrors. Screenshots sessions-ui-final. Lint clean; workspace tsc only unrelated concurrent integration-test typing error, other thread confirms fixed.</t>
  </si>
  <si>
    <t>Native zoom/AT, complete large-history paging/Back scroll fixture and all permission/service states deferred. Search and filters explicitly cover loaded history; full-dataset server search and scalable cursor loading remain a follow-up. New GET uses owner predicates; cross-account fixture still outstanding.</t>
  </si>
  <si>
    <t>Practice, simulator and round records are clearly distinguished.</t>
  </si>
  <si>
    <t>src/app/(app)/sessions/page.tsx; src/app/(app)/sessions/sessions-companion-page.tsx</t>
  </si>
  <si>
    <t>P04-C02</t>
  </si>
  <si>
    <t>History search and filters</t>
  </si>
  <si>
    <t>Back from a session restores filters and scroll position.</t>
  </si>
  <si>
    <t>src/app/(app)/sessions/page.tsx; src/app/sessions/session-history-filter-sheet.tsx</t>
  </si>
  <si>
    <t>P04-C03</t>
  </si>
  <si>
    <t>Chronological session list</t>
  </si>
  <si>
    <t>Pagination/load-more preserves order and does not duplicate sessions.</t>
  </si>
  <si>
    <t>src/app/(app)/sessions/page.tsx; src/app/sessions/session-timeline.tsx; src/app/sessions/sessions-companion-list.tsx</t>
  </si>
  <si>
    <t>P04-C04</t>
  </si>
  <si>
    <t>Selected-session preview</t>
  </si>
  <si>
    <t>Changing selection updates every preview field from the same session ID.</t>
  </si>
  <si>
    <t>src/app/(app)/sessions/page.tsx; src/app/sessions/session-timeline.tsx</t>
  </si>
  <si>
    <t>P04-C05</t>
  </si>
  <si>
    <t>Preview shot evidence and detail</t>
  </si>
  <si>
    <t>No stale shot is displayed after selecting a different session.</t>
  </si>
  <si>
    <t>src/app/(app)/sessions/page.tsx; src/app/shots/shots-master-detail-table.tsx; src/app/today/today-shot-charts.tsx; src/app/today/today-selected-shot-rail.tsx</t>
  </si>
  <si>
    <t>P05-C01</t>
  </si>
  <si>
    <t>/sessions/[sessionId]</t>
  </si>
  <si>
    <t>Session identity and verdict</t>
  </si>
  <si>
    <t>Responsive session identity, qualified comparison presentation, source baseline links, plan decisions, same shot patterns and complete paginated editable ledger. App smoke passed 25.6s across both surfaces at 1440x900,1280x800,1023x800,1024x800; session-detail-ui-smoke.log. Final TypeScript passed ui-through-goals-types.log.</t>
  </si>
  <si>
    <t>Full session task on companion and explicit workbench at 390x844/360x800; three retained URL tabs, all-club metrics, source/history details and correction controls. Same passing app smoke; screenshots in session-detail-ui-smoke. No mutation performed.</t>
  </si>
  <si>
    <t>UI implemented; full acceptance remains pending: mutation fixtures, complete baseline/empty/error/permission combinations, native zoom, screen reader and theme matrix. Final small all-club/source-link refinements type/lint checked after browser smoke. New synthetic carry-only regression: session club summary151yd but Performance snapshot median carry is missing for valid150/152yd inputs. Evidence isolated-import-browser screenshot; fix pending.</t>
  </si>
  <si>
    <t>One visible h1 and no unsupported verdict for a tiny or unmeasured sample.</t>
  </si>
  <si>
    <t>src/app/(app)/sessions/[sessionId]/page.tsx; src/app/sessions/mobile-session-story.tsx</t>
  </si>
  <si>
    <t>P05-C02</t>
  </si>
  <si>
    <t>Important numbers and club summary</t>
  </si>
  <si>
    <t>All figures match selected-session aggregates and exclusions.</t>
  </si>
  <si>
    <t>src/app/(app)/sessions/[sessionId]/page.tsx; src/components/app/connected-metric-bar.tsx</t>
  </si>
  <si>
    <t>P05-C03</t>
  </si>
  <si>
    <t>What happened explanation</t>
  </si>
  <si>
    <t>Claims identify comparable baselines and uncertainty.</t>
  </si>
  <si>
    <t>src/app/(app)/sessions/[sessionId]/page.tsx</t>
  </si>
  <si>
    <t>https://www.untitledui.com/react/components/section-headers; https://www.untitledui.com/react/components/content-dividers</t>
  </si>
  <si>
    <t>P05-C04</t>
  </si>
  <si>
    <t>Plan versus actual</t>
  </si>
  <si>
    <t>Unmeasured practice never counts as a measured target success.</t>
  </si>
  <si>
    <t>https://www.untitledui.com/react/components/progress-steps; https://www.untitledui.com/react/components/progress-indicators</t>
  </si>
  <si>
    <t>P05-C05</t>
  </si>
  <si>
    <t>Dispersion report and shot selection</t>
  </si>
  <si>
    <t>Coordinates and units remain identical across desktop and companion.</t>
  </si>
  <si>
    <t>src/app/(app)/sessions/[sessionId]/page.tsx; src/app/today/today-shot-charts.tsx; src/app/sessions/mobile-session-story.tsx</t>
  </si>
  <si>
    <t>P05-C06</t>
  </si>
  <si>
    <t>Shot evidence ledger</t>
  </si>
  <si>
    <t>Changes retain raw data and refresh session and bag summaries correctly.</t>
  </si>
  <si>
    <t>src/app/(app)/sessions/[sessionId]/page.tsx; src/app/shots/shots-master-detail-table.tsx</t>
  </si>
  <si>
    <t>P05-C07</t>
  </si>
  <si>
    <t>Alignment and unmeasured-session states</t>
  </si>
  <si>
    <t>A three-shot or missing-delivery session does not imply a full performance diagnosis.</t>
  </si>
  <si>
    <t>src/app/(app)/sessions/[sessionId]/page.tsx; src/components/analysis/session-alignment-panel.tsx; src/app/sessions/mobile-unmeasured-session.tsx</t>
  </si>
  <si>
    <t>P06-C01</t>
  </si>
  <si>
    <t>/shots</t>
  </si>
  <si>
    <t>Shot search, filters and active scope</t>
  </si>
  <si>
    <t>Shared header and complete query-key filters, active chips, server sort and labelled page-only export, existing column/density/saved views and correction controls. App smoke passed16.6s both surfaces at1440x900/1280x800/1023x800/1024x800; shots-ui-fixed.log. Scoped lint/types passed.</t>
  </si>
  <si>
    <t>Full compact rows on explicit workbench and companion; shared Apply/Reset/Cancel sheet, all Flight/Source/History tabs, correct-club/review controls, page export and result range. Smoke passed390x844/360x800 plusbreakpoints; empty search, copied/reloaded query, Clear filters and focus return verified.14captures in shots-ui-fixed;390workbench inspected.</t>
  </si>
  <si>
    <t>Full acceptance pending: export download/column/density matrix, all filter combinations and compatible selection fixtures, authorised mutation/error fixtures, full keyboard/nativezoom/AT/theme states. Dev issue badge visible in screenshot requires attribution; no pageerrors in passing smoke. Paid reference exports unavailable locally; accessible composition documented.</t>
  </si>
  <si>
    <t>Refresh and copied links reproduce the same accessible result scope.</t>
  </si>
  <si>
    <t>src/app/(app)/shots/page.tsx; src/app/shots/shot-filter-toolbar.tsx; src/app/shots/mobile-shot-filters.tsx</t>
  </si>
  <si>
    <t>P06-C02</t>
  </si>
  <si>
    <t>Shot table and column tools</t>
  </si>
  <si>
    <t>Export/sort applies to the documented dataset scope, not silently just the current visible rows.</t>
  </si>
  <si>
    <t>src/app/(app)/shots/page.tsx; src/app/shots/shots-master-detail-table.tsx</t>
  </si>
  <si>
    <t>P06-C03</t>
  </si>
  <si>
    <t>Flight, Source and History detail</t>
  </si>
  <si>
    <t>Switching rows clears stale source/history content.</t>
  </si>
  <si>
    <t>P06-C04</t>
  </si>
  <si>
    <t>Keep, exclude and correct club controls</t>
  </si>
  <si>
    <t>No permanent deletion is substituted for an exclusion.</t>
  </si>
  <si>
    <t>src/app/(app)/shots/page.tsx</t>
  </si>
  <si>
    <t>P06-C05</t>
  </si>
  <si>
    <t>Pagination and empty results</t>
  </si>
  <si>
    <t>No matching shots offers Clear filters; no account data offers Import.</t>
  </si>
  <si>
    <t>P07-C01</t>
  </si>
  <si>
    <t>/shots/review</t>
  </si>
  <si>
    <t>Suggestion queue and reason</t>
  </si>
  <si>
    <t>Compact shared header, full suggestion reasons/identity/counts, controlled Keep confirmation with duplicate guard/error retention/Undo; owner-filtered exact-shot evidence drawer and club correction. Scope lint/types pass; app smoke1passed24.3s both surfaces×six sizes. automatic-review-ui-retry.log.</t>
  </si>
  <si>
    <t>Same full queue and evidence/correction actions, safe-area scroll sheet, full text, large distinct actions and preserved queue. Passing viewport smoke1440/1280/390/360/1023/1024; invalid shot GET404. Row-specific interaction conditional on available suggestions; full deterministic mutation fixture deferred.</t>
  </si>
  <si>
    <t>Acceptance still outstanding: deterministic populated/empty/error queue fixtures, Keep/Exclude/Undo mutations and concurrency, complete keyboard/native zoom/AT/theme checks. Initial browser attempt blocked by sandbox startup; scoped retry outside sandbox passed.</t>
  </si>
  <si>
    <t>Suggestions explain their evidence; low carry alone is not automatically labelled invalid.</t>
  </si>
  <si>
    <t>src/app/(app)/shots/review/page.tsx; src/app/shots/mobile-automatic-review.tsx</t>
  </si>
  <si>
    <t>P07-C02</t>
  </si>
  <si>
    <t>Keep and exclude decisions</t>
  </si>
  <si>
    <t>A decision applies once to the selected shot and can be reversed where supported.</t>
  </si>
  <si>
    <t>P07-C03</t>
  </si>
  <si>
    <t>Full evidence and club correction</t>
  </si>
  <si>
    <t>A corrected club uses the existing authorised mutation and refreshes the queue.</t>
  </si>
  <si>
    <t>src/app/(app)/shots/review/page.tsx; src/app/shots/shots-master-detail-table.tsx</t>
  </si>
  <si>
    <t>P08-C01</t>
  </si>
  <si>
    <t>/bag</t>
  </si>
  <si>
    <t>Bag health and selected context</t>
  </si>
  <si>
    <t>Compact same-data health header; six retained URL tabs; unit-aware target inputs/search/reset; existing ladder/geometry; shared club context; benchmark gates; stock-sample review and exact source actions; selectable pattern layers/heat/evolution; complete history and labelled recomputed score estimates; simulator Reset. Lint/types pass. Bag UI smoke1passed32.3s at allsixsizes×bothsurfaces.</t>
  </si>
  <si>
    <t>All six complete task areas available with touch explorer preserved. Natural history/evolution rows, table-contained scrolling, full stock sample Sheet and correction/review controls; stock drawer1passed26.1s at sixsizes, search/reset. Target input/reset and pattern layer hide/reset1passed8.1s at360. Logs bag-ui-smoke,bag-stock-ui,bag-controls-ui under output/playwright/ui-upgrade.</t>
  </si>
  <si>
    <t>Full acceptance deferred: account-metre roundtrip fixture, all benchmark permission/small-sample cases, mutations/restore consistency, nativezoom/AT/theme/physical gesture/render failure checks. Existing bag score history is recomputed with current methodology and limited loaded shots, explicitly labelled; full dated source coverage for monthly history remains outstanding. No save/deletion performed in UI smoke.</t>
  </si>
  <si>
    <t>Bag score, blocker and recommendation agree with the same underlying readout.</t>
  </si>
  <si>
    <t>src/app/(app)/bag/page.tsx</t>
  </si>
  <si>
    <t>P08-C02</t>
  </si>
  <si>
    <t>Distances, Clubs, Scoring, Fitting, History and Evidence</t>
  </si>
  <si>
    <t>Every desktop tab has a functional mobile equivalent.</t>
  </si>
  <si>
    <t>src/app/(app)/bag/page.tsx; src/components/ui/tabs.tsx</t>
  </si>
  <si>
    <t>P08-C03</t>
  </si>
  <si>
    <t>Target distance and club search</t>
  </si>
  <si>
    <t>Input conversion preserves stored yards and round-trips in the selected unit.</t>
  </si>
  <si>
    <t>src/app/(app)/bag/page.tsx; src/app/bag/target-distance-selector.tsx</t>
  </si>
  <si>
    <t>P08-C04</t>
  </si>
  <si>
    <t>Distance ladder and carry gaps</t>
  </si>
  <si>
    <t>Visual scale, gaps and table values agree; no arbitrary bar lengths.</t>
  </si>
  <si>
    <t>src/app/(app)/bag/page.tsx; src/app/bag/mobile-bag-ladder.tsx</t>
  </si>
  <si>
    <t>P08-C05</t>
  </si>
  <si>
    <t>Club browser and detail panel</t>
  </si>
  <si>
    <t>Club choice updates all dependent values and links to the correct club ID.</t>
  </si>
  <si>
    <t>src/app/(app)/bag/page.tsx; src/app/bag/club-intelligence-panel.tsx</t>
  </si>
  <si>
    <t>P08-C06</t>
  </si>
  <si>
    <t>Distance benchmarks and peer context</t>
  </si>
  <si>
    <t>No gated peer data leaks; absent benchmarks are unavailable, not zero or invented.</t>
  </si>
  <si>
    <t>src/app/(app)/bag/page.tsx; src/app/bag/distance-benchmark-panel.tsx</t>
  </si>
  <si>
    <t>P08-C07</t>
  </si>
  <si>
    <t>Best-stock sample filters</t>
  </si>
  <si>
    <t>Changing filters updates ladder, recommended numbers and evidence consistently.</t>
  </si>
  <si>
    <t>P08-C08</t>
  </si>
  <si>
    <t>Shot-pattern overlays</t>
  </si>
  <si>
    <t>Disabled/insufficient layers are explained rather than plotted as certainty.</t>
  </si>
  <si>
    <t>P08-C09</t>
  </si>
  <si>
    <t>Confidence by club and carry window</t>
  </si>
  <si>
    <t>Confidence is understandable without colour perception or hover.</t>
  </si>
  <si>
    <t>P08-C10</t>
  </si>
  <si>
    <t>Full, three-quarter and half wedge matrix</t>
  </si>
  <si>
    <t>Missing partial-shot data stays missing; full-shot values are not copied into empty cells.</t>
  </si>
  <si>
    <t>P08-C11</t>
  </si>
  <si>
    <t>Bag builder and gapping recommendations</t>
  </si>
  <si>
    <t>No equipment recommendation silently changes saved bag contents.</t>
  </si>
  <si>
    <t>P08-C12</t>
  </si>
  <si>
    <t>What happens if I change a club?</t>
  </si>
  <si>
    <t>Reset returns to the current saved bag; simulations do not persist equipment changes.</t>
  </si>
  <si>
    <t>src/app/(app)/bag/page.tsx; src/app/bag/lazy-bag-simulator.tsx</t>
  </si>
  <si>
    <t>https://www.untitledui.com/react/components/sliders; https://www.untitledui.com/react/components/inputs</t>
  </si>
  <si>
    <t>P08-C13</t>
  </si>
  <si>
    <t>Personal bests and supporting distance table</t>
  </si>
  <si>
    <t>Peak total is not substituted for a trusted carry recommendation.</t>
  </si>
  <si>
    <t>P08-C14</t>
  </si>
  <si>
    <t>Club evolution and bag score history</t>
  </si>
  <si>
    <t>All points link to dated evidence; methodology changes are labelled.</t>
  </si>
  <si>
    <t>P08-C15</t>
  </si>
  <si>
    <t>Equipment and baseline history</t>
  </si>
  <si>
    <t>Retired clubs remain discoverable without entering the active recommendation set.</t>
  </si>
  <si>
    <t>P08-C16</t>
  </si>
  <si>
    <t>Speed potential reference</t>
  </si>
  <si>
    <t>Moving a speed target never changes the bag's trusted carry values.</t>
  </si>
  <si>
    <t>P09-C01</t>
  </si>
  <si>
    <t>/bag/[clubId]</t>
  </si>
  <si>
    <t>Club identity, specification and primary number</t>
  </si>
  <si>
    <t>Club profile six retained analysis tabs, range/shot URL selection, full source/history/correction. Browser smoke passed 41.1s across six requested sizes and both surfaces; 12 screenshots club-ui-smoke. Final TypeScript and scoped lint passed. Selected-shot URL and qualified monthly-source refinements followed smoke.</t>
  </si>
  <si>
    <t>Full acceptance pending: mutation fixtures, all loading/error/empty and permissions, screen reader, zoom/theme matrix; final URL/month refinements need browser check. Broad unit baseline has 70 failures requiring classification and fixes.</t>
  </si>
  <si>
    <t>An unavailable/retired club has a meaningful state and correct back-to-bag action.</t>
  </si>
  <si>
    <t>src/app/(app)/bag/[clubId]/page.tsx; src/app/bag/[clubId]/club-detail-client.tsx</t>
  </si>
  <si>
    <t>P09-C02</t>
  </si>
  <si>
    <t>Club Intelligence</t>
  </si>
  <si>
    <t>All readouts use the selected club ID and current exclusion scope.</t>
  </si>
  <si>
    <t>P09-C03</t>
  </si>
  <si>
    <t>Club analysis tabs</t>
  </si>
  <si>
    <t>No panel is discarded during migration.</t>
  </si>
  <si>
    <t>src/app/(app)/bag/[clubId]/page.tsx; src/app/bag/[clubId]/club-analysis-tabs.tsx</t>
  </si>
  <si>
    <t>P09-C04</t>
  </si>
  <si>
    <t>Dispersion map</t>
  </si>
  <si>
    <t>Map selection and shot table selection refer to the same shot.</t>
  </si>
  <si>
    <t>P09-C05</t>
  </si>
  <si>
    <t>Shot evidence table</t>
  </si>
  <si>
    <t>Excluded shots stay inspectable and do not silently re-enter trusted aggregates.</t>
  </si>
  <si>
    <t>P09-C06</t>
  </si>
  <si>
    <t>Club Evolution and What Changed?</t>
  </si>
  <si>
    <t>No historical curve is manufactured from a current summary.</t>
  </si>
  <si>
    <t>P10-C01</t>
  </si>
  <si>
    <t>/bag/[clubId]/analytics</t>
  </si>
  <si>
    <t>Analytics header and decision support</t>
  </si>
  <si>
    <t>Both surfaces at 1440x900,1280x800,390x844,360x800,1023x800,1024x800. Combined analytics/PB smoke 2 passed59.6s; exact Source drawers, URL selections/reload and page bounds. Screenshots analytics-longest-final. Scoped TypeScript pass; P11 unused-helper lint warning removed after check.</t>
  </si>
  <si>
    <t>Full mutation/permission/loading/error/empty fixtures, native zoom/screen-reader/theme and export scope acceptance pending. Broad unit baseline70 failures pending classification. Analytics all-time profile recommendation explicitly separated from latest50 diagnostic sample; rolling comparison counts/date endpoints and per-metric compatibility require further acceptance evidence.</t>
  </si>
  <si>
    <t>Primary recommendation is consistent with basic club detail.</t>
  </si>
  <si>
    <t>src/app/(app)/bag/[clubId]/analytics/page.tsx; src/components/premium.tsx</t>
  </si>
  <si>
    <t>P10-C02</t>
  </si>
  <si>
    <t>Diagnosis and coach readout</t>
  </si>
  <si>
    <t>Do not turn a correlation or low-confidence signal into a certain diagnosis.</t>
  </si>
  <si>
    <t>P10-C03</t>
  </si>
  <si>
    <t>Trust breakdown</t>
  </si>
  <si>
    <t>Overall score and displayed component contributions use the same calculation.</t>
  </si>
  <si>
    <t>P10-C04</t>
  </si>
  <si>
    <t>Shot cloud</t>
  </si>
  <si>
    <t>Missing/flagged side measurements are visibly distinguished.</t>
  </si>
  <si>
    <t>src/app/(app)/bag/[clubId]/analytics/page.tsx</t>
  </si>
  <si>
    <t>P10-C05</t>
  </si>
  <si>
    <t>Distance profile</t>
  </si>
  <si>
    <t>Recommended carry is never replaced by the longest total.</t>
  </si>
  <si>
    <t>P10-C06</t>
  </si>
  <si>
    <t>Launch-window analysis</t>
  </si>
  <si>
    <t>Only measured launch data drives this analysis; unsupported comparisons are absent.</t>
  </si>
  <si>
    <t>P10-C07</t>
  </si>
  <si>
    <t>What changed comparison</t>
  </si>
  <si>
    <t>Signs and units are consistent for better/worse directional metrics.</t>
  </si>
  <si>
    <t>P10-C08</t>
  </si>
  <si>
    <t>Shot-shape mix</t>
  </si>
  <si>
    <t>Missing start-line evidence is not classified as a known shape.</t>
  </si>
  <si>
    <t>P10-C09</t>
  </si>
  <si>
    <t>Latest tags and shot evidence ledger</t>
  </si>
  <si>
    <t>Every tag is traceable to a specific shot and original measurements remain available.</t>
  </si>
  <si>
    <t>P11-C01</t>
  </si>
  <si>
    <t>/bag/longest</t>
  </si>
  <si>
    <t>Personal-best identity and summary</t>
  </si>
  <si>
    <t>Full mutation/permission/loading/error/empty fixtures, native zoom/screen-reader/theme and export scope acceptance pending. Broad unit baseline70 failures pending classification. Legacy replay remains explicitly total-record illustration; reduced-motion/failure fixture and carry-only fixture outstanding. Replay summary fallback label refinement followed smoke.</t>
  </si>
  <si>
    <t>Total falling back to carry is explicitly labelled rather than reported as measured total.</t>
  </si>
  <si>
    <t>src/app/(app)/bag/longest/page.tsx; src/app/bag/longest-shots-section.tsx</t>
  </si>
  <si>
    <t>P11-C02</t>
  </si>
  <si>
    <t>Longest-shot visual</t>
  </si>
  <si>
    <t>Reduced-motion and renderer failure still expose the PB result.</t>
  </si>
  <si>
    <t>P11-C03</t>
  </si>
  <si>
    <t>PB evidence board</t>
  </si>
  <si>
    <t>Ranking and the headline use the same metric definition.</t>
  </si>
  <si>
    <t>src/app/(app)/bag/longest/page.tsx</t>
  </si>
  <si>
    <t>P12-C01</t>
  </si>
  <si>
    <t>/quick-bag</t>
  </si>
  <si>
    <t>Both surfaces use existing trusted DTO and complete target/search; unit switch retains physical150yd=137.16m, same club and drawer target/focus. All6sizes smoke1passed10.8s,12screenshots quick-bag-ui-smoke. Final types/lint pass. Saved snapshot timestamp labelled separately from measurement.</t>
  </si>
  <si>
    <t>Offline cold-start/service-worker/account-switch and storage failure fixtures outstanding; full screen-reader/zoom/theme/error/empty matrix and unsupported-gap fixture pending. Snapshot reference explicitly remains yards. Full acceptance not claimed.</t>
  </si>
  <si>
    <t>Changing units preserves the same physical distance.</t>
  </si>
  <si>
    <t>src/app/(app)/quick-bag/page.tsx; src/app/quick-bag/quick-bag-client.tsx; src/app/quick-bag/mobile-quick-bag.tsx</t>
  </si>
  <si>
    <t>P12-C02</t>
  </si>
  <si>
    <t>Recommended club and alternatives</t>
  </si>
  <si>
    <t>No recommendation is shown for an unsupported gap without an uncertainty message.</t>
  </si>
  <si>
    <t>src/app/(app)/quick-bag/page.tsx; src/app/quick-bag/quick-bag-client.tsx</t>
  </si>
  <si>
    <t>P12-C03</t>
  </si>
  <si>
    <t>Club evidence drawer</t>
  </si>
  <si>
    <t>Closing detail preserves target, club and alternatives.</t>
  </si>
  <si>
    <t>src/app/(app)/quick-bag/page.tsx; src/app/quick-bag/quick-bag-client.tsx; src/app/quick-bag/quick-bag-club-drawer.tsx</t>
  </si>
  <si>
    <t>P12-C04</t>
  </si>
  <si>
    <t>Offline bag reference</t>
  </si>
  <si>
    <t>Offline numbers are not presented as newly synced measurements.</t>
  </si>
  <si>
    <t>src/app/(app)/quick-bag/page.tsx; src/app/quick-bag/mobile-quick-bag.tsx</t>
  </si>
  <si>
    <t>P13-C01</t>
  </si>
  <si>
    <t>/equipment</t>
  </si>
  <si>
    <t>Current setup and fit summary</t>
  </si>
  <si>
    <t>Equipment full5retained tabs, editSheets/Cancel, snapshot draft retained across tabs, retirementCancel. Sixsizes×bothsurfaces smoke1passed25.5s,12captures equipment-ui-smoke. State wrappers use existing persistence; backend actualDB workflow testpassed. Final scoped types/lint pass.</t>
  </si>
  <si>
    <t>Full mutation/rollback/concurrent/retry/history-overlap matrix, nativeAT/zoom/themes and storage/permissions cases outstanding. Equipment invalid numeric normalization/null-brand uniqueness/snapshot retry identity need backend follow-up. Final selected-club link and snapshot list refinement followed smoke.</t>
  </si>
  <si>
    <t>Current/retired status and fit projections remain distinct.</t>
  </si>
  <si>
    <t>src/app/(app)/equipment/page.tsx</t>
  </si>
  <si>
    <t>P13-C02</t>
  </si>
  <si>
    <t>Bag ordering and snapshots</t>
  </si>
  <si>
    <t>Reordering saves only order and does not create or retire clubs.</t>
  </si>
  <si>
    <t>src/app/(app)/equipment/page.tsx; src/app/equipment/bag-order-form.tsx</t>
  </si>
  <si>
    <t>https://www.untitledui.com/react/components/inputs; https://www.untitledui.com/react/components/select; https://www.untitledui.com/react/components/textarea; https://www.untitledui.com/react/components/buttons</t>
  </si>
  <si>
    <t>P13-C03</t>
  </si>
  <si>
    <t>Active club intelligence and maintenance</t>
  </si>
  <si>
    <t>Actions always target the selected club and preserve historical shots.</t>
  </si>
  <si>
    <t>P13-C04</t>
  </si>
  <si>
    <t>Add ball model</t>
  </si>
  <si>
    <t>Saving a ball model retains the dated history used in comparisons.</t>
  </si>
  <si>
    <t>P13-C05</t>
  </si>
  <si>
    <t>Add club specification</t>
  </si>
  <si>
    <t>Saving a new active setup closes the previous active setup exactly as existing domain logic requires.</t>
  </si>
  <si>
    <t>P13-C06</t>
  </si>
  <si>
    <t>Before/after equipment evidence</t>
  </si>
  <si>
    <t>No performance improvement is claimed from unmatched or insufficient samples.</t>
  </si>
  <si>
    <t>P13-C07</t>
  </si>
  <si>
    <t>Projected bag-builder moves</t>
  </si>
  <si>
    <t>A projected candidate never silently becomes an active club.</t>
  </si>
  <si>
    <t>P13-C08</t>
  </si>
  <si>
    <t>Retired clubs and retire confirmation</t>
  </si>
  <si>
    <t>Retirement does not delete shot history; cancellation has no effect.</t>
  </si>
  <si>
    <t>P13-C09</t>
  </si>
  <si>
    <t>Setup history ledger</t>
  </si>
  <si>
    <t>Historic periods are not relabelled as the current setup.</t>
  </si>
  <si>
    <t>P14-C01</t>
  </si>
  <si>
    <t>/equipment/experiments</t>
  </si>
  <si>
    <t>Experiment and baseline selection</t>
  </si>
  <si>
    <t>Experiment explicit baseline/test selection, duplicate-session blocked, complete decision/confidence form, scoped warnings, saved-ID reopen/unavailable recovery. Sixsizes×bothsurfaces smoke1passed7.5s,12captures experiments-ui-smoke. Types/scopedlint pass; backend realDB sourceIDs/confidence/foreign/self rejection passed.</t>
  </si>
  <si>
    <t>Full saved-snapshot reopen/browser fixtures, failure/retry/duplicate-save identity, nativeAT/zoom/themes outstanding. Older non-session snapshots retain saved summary but cannot be silently reinterpreted as session comparisons. Full acceptance remains pending.</t>
  </si>
  <si>
    <t>The same session cannot be silently used as two different conditions.</t>
  </si>
  <si>
    <t>src/app/(app)/equipment/experiments/page.tsx</t>
  </si>
  <si>
    <t>P14-C02</t>
  </si>
  <si>
    <t>Comparability warning</t>
  </si>
  <si>
    <t>Low-confidence comparisons cannot be mistaken for conclusive equipment gains.</t>
  </si>
  <si>
    <t>P14-C03</t>
  </si>
  <si>
    <t>Decision and confidence form</t>
  </si>
  <si>
    <t>Saving preserves the selected evidence IDs and original calculation scope.</t>
  </si>
  <si>
    <t>P14-C04</t>
  </si>
  <si>
    <t>Saved decisions list</t>
  </si>
  <si>
    <t>Reopening a decision retrieves its saved evidence instead of substituting latest sessions.</t>
  </si>
  <si>
    <t>P15-C01</t>
  </si>
  <si>
    <t>/practice</t>
  </si>
  <si>
    <t>Practice title and plan state</t>
  </si>
  <si>
    <t>Full same-surface editor, compact header, retained complete blocks, accessible reordering, guarded nonce-aware save context and goal/source handoff. Evidence/library/import drawers have visible close. Practice smoke 27.3s: workbench and companion at all six required sizes; no overflow, one h1, evidence open/close; 12 captures practice-ui-smoke. TypeScript passed after historical review refinement.</t>
  </si>
  <si>
    <t>Full editor available on phone via editor=full; guided mode available on wide screens without changing surface. All generated blocks retained. Historical measured result and source-session links, full drill/target/record disclosures. Same six-size smoke; latest order/history changes need browser follow-up. Connected disposable import-to-practice save/guided start/pause/reload/resume passed 10.3s in isolated-import-browser.log; one saved plan retained. Fixed workbench hidden guided wrapper and repeat restoration resetting live activity.</t>
  </si>
  <si>
    <t>Full saved/active/completed/failed import fixture matrix, offline and cross-reload nonce recovery, screen reader, zoom, themes, software keyboard and goal-linked mutation acceptance outstanding. Quick smoke does not establish measured matching correctness. Active range extended controls and manual order browser checks remain outstanding.</t>
  </si>
  <si>
    <t>An active saved plan is not replaced just by opening the screen.</t>
  </si>
  <si>
    <t>src/app/(app)/practice/page.tsx; src/app/practice/practice-planner-client.tsx; src/app/practice/practice-companion-client.tsx</t>
  </si>
  <si>
    <t>P15-C02</t>
  </si>
  <si>
    <t>Conditions and focus setup</t>
  </si>
  <si>
    <t>Changing conditions affects only the intended plan and preserves manual edits.</t>
  </si>
  <si>
    <t>src/app/(app)/practice/page.tsx; src/app/practice/practice-planner-client.tsx</t>
  </si>
  <si>
    <t>P15-C03</t>
  </si>
  <si>
    <t>Training programme and block ledger</t>
  </si>
  <si>
    <t>Block order and counts match the saved plan.</t>
  </si>
  <si>
    <t>P15-C04</t>
  </si>
  <si>
    <t>Why today looks like this</t>
  </si>
  <si>
    <t>Every cited club and load signal links to the correct supporting record.</t>
  </si>
  <si>
    <t>P15-C05</t>
  </si>
  <si>
    <t>Active guided range session</t>
  </si>
  <si>
    <t>Pause/resume/navigation preserve current progress; guidance completion is not measured success.</t>
  </si>
  <si>
    <t>src/app/(app)/practice/page.tsx; src/app/practice/active-range-mode.tsx; src/app/practice/practice-companion-client.tsx</t>
  </si>
  <si>
    <t>P15-C06</t>
  </si>
  <si>
    <t>Import and saved-session matching</t>
  </si>
  <si>
    <t>An import cannot be assigned to a block merely because its date is nearby if matching rules reject it.</t>
  </si>
  <si>
    <t>src/app/(app)/practice/page.tsx; src/app/practice/mobile-practice-import-review.tsx; src/app/practice/mobile-saved-practice-review.tsx</t>
  </si>
  <si>
    <t>P15-C07</t>
  </si>
  <si>
    <t>Measured result and next practice</t>
  </si>
  <si>
    <t>The displayed target outcome agrees with saved qualifying evidence.</t>
  </si>
  <si>
    <t>src/app/(app)/practice/page.tsx; src/app/practice/practice-companion-client.tsx; src/app/practice/measured-practice-result-card.tsx</t>
  </si>
  <si>
    <t>P15-C08</t>
  </si>
  <si>
    <t>Add evidence and no-plan states</t>
  </si>
  <si>
    <t>No plan, guided-only completion and measured completion have distinct messages.</t>
  </si>
  <si>
    <t>src/app/(app)/practice/page.tsx; src/app/practice/practice-companion-client.tsx</t>
  </si>
  <si>
    <t>P16-C01</t>
  </si>
  <si>
    <t>/practice/quick-range</t>
  </si>
  <si>
    <t>Quick-range focus and start/resume</t>
  </si>
  <si>
    <t>Unified account draft across workbench/companion, compact title, named block navigation/completion, pause/resume, manual labels/notes/history, outdoor and screen-awake request. Final browser 8.7s at six sizes on both surfaces: reload/block/notes/surface switching/finish import link pass; 12 captures quick-range-final. Prior 6 draft tests and types/lint pass.</t>
  </si>
  <si>
    <t>Same complete flow; current block and total with expandable steps, previous/next/pause, safe-area footer, local save/error state. Existing draft wins over new club/focus URL. Same viewport/reload/surface evidence; screenshot review led to compact options/steps disclosure. Guidance completion never claims measured performance.</t>
  </si>
  <si>
    <t>Offline cold-load, storage-denied/corrupt/multi-tab/account-switch fixtures, physical keyboard/safe-area, screen-reader, themes and zoom still outstanding. Browser fixture uses local manual activity only, no saved measured result. Legacy separate desktop in-memory state could not survive a pre-upgrade reload.</t>
  </si>
  <si>
    <t>Existing draft state wins over accidental reinitialisation.</t>
  </si>
  <si>
    <t>src/app/(app)/practice/quick-range/page.tsx; src/app/practice/quick-range/quick-range-workbench-session.tsx; src/app/practice/quick-range/quick-range-session.tsx</t>
  </si>
  <si>
    <t>P16-C02</t>
  </si>
  <si>
    <t>Guided block and progress controls</t>
  </si>
  <si>
    <t>Reload and offline recovery preserve the current block where supported.</t>
  </si>
  <si>
    <t>P16-C03</t>
  </si>
  <si>
    <t>Finish and measured-evidence handoff</t>
  </si>
  <si>
    <t>Finishing guidance does not invent shot measurements or mark a measured target achieved.</t>
  </si>
  <si>
    <t>P17-C01</t>
  </si>
  <si>
    <t>/coach</t>
  </si>
  <si>
    <t>Primary coaching opportunity</t>
  </si>
  <si>
    <t>Compact shared Coach header; displayed priority uses existing Progress selector, club-specific diagnosis preserved. Retained URL tabs, illustrative visuals explicitly labelled, exact round/club source links, owner-filtered source pagination and detail Sheet. Embedded Data Chat heading fixed; failed requests restore question; sync pending/error/retry explicit. Coach browser14.0s both surfaces/six sizes/12 captures coach-final; types/lint pass before latest recovery refinement.</t>
  </si>
  <si>
    <t>Obsolete /coach summary capability removed after full task implemented. Diagnosis/Evidence/Ask same complete UI. Tappable source Sheet with full record fields; single-column chat and citation Sheet at widths below1024. Same six-size smoke checks tabs/source details/one h1/no overflow. AI request/citation response fixture not yet run.</t>
  </si>
  <si>
    <t>AI service/entitlement/failed request/citation fixture and sync error fixture still outstanding; club-specific handoff preserves club but exact custom drill/target transfer remains an integration gap. Source-session confidence is not fabricated; confidence filtering is in the detailed diagnosis route. AT/zoom/themes/keyboard and all loading/empty cases still outstanding.</t>
  </si>
  <si>
    <t>The chosen issue agrees with Progress and the current practice priority selector.</t>
  </si>
  <si>
    <t>src/app/(app)/coach/page.tsx</t>
  </si>
  <si>
    <t>P17-C02</t>
  </si>
  <si>
    <t>Three supporting evidence signals</t>
  </si>
  <si>
    <t>Every signal identifies measured versus estimated inputs.</t>
  </si>
  <si>
    <t>P17-C03</t>
  </si>
  <si>
    <t>Diagnosis and next drills</t>
  </si>
  <si>
    <t>The drill carries the selected club and target into /practice.</t>
  </si>
  <si>
    <t>P17-C04</t>
  </si>
  <si>
    <t>Evidence browser</t>
  </si>
  <si>
    <t>Evidence links open the correct session, club or round and retain access controls.</t>
  </si>
  <si>
    <t>P17-C05</t>
  </si>
  <si>
    <t>Ask your data</t>
  </si>
  <si>
    <t>Unsupported questions and unavailable AI services give clear recoverable states.</t>
  </si>
  <si>
    <t>src/app/(app)/coach/page.tsx; src/app/coach/lazy-coach-data-chat-panel.tsx</t>
  </si>
  <si>
    <t>https://www.untitledui.com/react/components/messaging; https://www.untitledui.com/react/components/drawers</t>
  </si>
  <si>
    <t>P17-C06</t>
  </si>
  <si>
    <t>Saved drill synchronisation feedback</t>
  </si>
  <si>
    <t>A failed background sync cannot appear as a successfully saved practice plan.</t>
  </si>
  <si>
    <t>src/app/(app)/coach/page.tsx; src/app/coach/coach-drill-auto-sync.tsx</t>
  </si>
  <si>
    <t>P18-C01</t>
  </si>
  <si>
    <t>/coach/diagnosis</t>
  </si>
  <si>
    <t>Diagnosis evidence table</t>
  </si>
  <si>
    <t>Compact header; retained full club diagnosis table/column/export controls; search, trust/sample order with aria-sort, confidence filter, URL-selected record and full drill Sheet. Browser11.3s both surfaces/all6sizes/search-empty/reset/selectedclub query/practiceclub link/oneh1/no overflow;12 captures diagnosis-ui-smoke. Scoped lint clean.</t>
  </si>
  <si>
    <t>Complete ranked rows and one selected drill Sheet, all original stock/playable/miss/sample/evidence/drill/retest fields retained; accessible source/practice/close actions. Exact /coach/diagnosis capability lifted only after implementing. Same six-size browser checks pass.</t>
  </si>
  <si>
    <t>Full export/sort semantics and copied evidence, AT/zoom/theme/physical keyboard/state matrix outstanding. Types show no changed production errors; concurrent isolated-offline-import test narrowing error sent to owning agent. Exact custom drill target transfer into planner still pending; club identity retained.</t>
  </si>
  <si>
    <t>Table, selected club and drill use the same diagnosis record.</t>
  </si>
  <si>
    <t>src/app/(app)/coach/diagnosis/page.tsx</t>
  </si>
  <si>
    <t>P18-C02</t>
  </si>
  <si>
    <t>Ranked drill cards</t>
  </si>
  <si>
    <t>Low-confidence diagnoses remain qualified and no drill promises a guaranteed result.</t>
  </si>
  <si>
    <t>P18-C03</t>
  </si>
  <si>
    <t>Diagnosis title and navigation</t>
  </si>
  <si>
    <t>Back navigation preserves originating coaching scope.</t>
  </si>
  <si>
    <t>src/app/(app)/coach/diagnosis/page.tsx; src/components/premium.tsx</t>
  </si>
  <si>
    <t>P19-C01</t>
  </si>
  <si>
    <t>/coach/reports</t>
  </si>
  <si>
    <t>Frozen report builder</t>
  </si>
  <si>
    <t>Three-step evidence/privacy/review builder, optional saved title, retained draft errors, explicit effective selected sections, password/expiry/download controls; no report creation until review confirmation. History pagination, full scope/access detail Sheet, named revoke and copy feedback. Browser12.0s both surfaces/all6sizes/12captures reports-step-fixed; step transition bug fixed, no share created by smoke. Connected disposable browser passed 18.3s: create custom password report, wrong/right anonymous password, normal-click revoke, previously unlocked visitor sees Page not found. isolated-report-browser.log.</t>
  </si>
  <si>
    <t>Complete phone builder/review/history actions before exact route enabled. Back preserves title/expiry/selections; privacy directly above final action, inline server errors and pending-safe review. Same six-size smoke pass. Backend synthetic create/revoke state test separately checks owner/password/hide-exact/title.</t>
  </si>
  <si>
    <t>Full create/revoke/expired-link/password history browser matrix, server failure/retry fixture, AT/zoom/themes/software-keyboard still outstanding. Section-level scope uses existing latest-N/28-day snapshot rules; per-record selection not supported. Old share tokens are hashed and cannot be recovered, explicitly explained. Report creation nonce/durable retry not yet available. Full multi-viewport mutation and durable duplicate-submit acceptance remains outstanding; normal-click nested confirmation stacking fixed.</t>
  </si>
  <si>
    <t>Only selected evidence enters the frozen report; latest unrelated data is not added later.</t>
  </si>
  <si>
    <t>src/app/(app)/coach/reports/page.tsx; src/components/ui/checkbox.tsx; src/components/ui/select.tsx; src/components/ui/input.tsx</t>
  </si>
  <si>
    <t>P19-C02</t>
  </si>
  <si>
    <t>Report visibility summary</t>
  </si>
  <si>
    <t>Private coach notes and unselected account data remain excluded.</t>
  </si>
  <si>
    <t>src/app/(app)/coach/reports/page.tsx</t>
  </si>
  <si>
    <t>P19-C03</t>
  </si>
  <si>
    <t>Report history, revoke and share actions</t>
  </si>
  <si>
    <t>Revoked/expired links fail safely; copying and opening do not mutate the report.</t>
  </si>
  <si>
    <t>src/app/(app)/coach/reports/page.tsx; src/components/app/confirm-submit-button.tsx</t>
  </si>
  <si>
    <t>P20-C01</t>
  </si>
  <si>
    <t>/coach/workspace</t>
  </si>
  <si>
    <t>Assigned player selector</t>
  </si>
  <si>
    <t>Owned fixture browser passed 27.4s: workbench and companion at 1440x900,1280x800,1024x800; player search, selection scope, source details, draft/cancel and invalid-player recovery. workspace-final.log and P20 screenshots under output/playwright/ui-upgrade/workspace-final.</t>
  </si>
  <si>
    <t>Same browser checks passed both surfaces at 390x844,360x800,1023x800; complete source drawer and interaction fields usable, one h1 and no horizontal page overflow.</t>
  </si>
  <si>
    <t>Full submission/status permissions and failure/retry browser matrix, roster/history pagination, screen-reader, zoom, themes and physical keyboard checks outstanding. Existing history limits remain visible implementation gaps; no full acceptance claimed.</t>
  </si>
  <si>
    <t>Selecting a player never impersonates their account or broadens coach access.</t>
  </si>
  <si>
    <t>src/app/(app)/coach/workspace/page.tsx; src/components/ui/item.tsx</t>
  </si>
  <si>
    <t>https://www.untitledui.com/react/components/select</t>
  </si>
  <si>
    <t>P20-C02</t>
  </si>
  <si>
    <t>Player priority and evidence</t>
  </si>
  <si>
    <t>No stale previous-player data remains after selection changes.</t>
  </si>
  <si>
    <t>src/app/(app)/coach/workspace/page.tsx</t>
  </si>
  <si>
    <t>P20-C03</t>
  </si>
  <si>
    <t>Add coach interaction</t>
  </si>
  <si>
    <t>Private notes stay private; assignments/feedback use existing visibility rules.</t>
  </si>
  <si>
    <t>src/app/(app)/coach/workspace/page.tsx; src/components/ui/input.tsx; src/components/ui/textarea.tsx</t>
  </si>
  <si>
    <t>P20-C04</t>
  </si>
  <si>
    <t>Interaction history and status</t>
  </si>
  <si>
    <t>Status changes are authorised and preserve audit history.</t>
  </si>
  <si>
    <t>P21-C01</t>
  </si>
  <si>
    <t>/data-chat</t>
  </si>
  <si>
    <t>Conversation history and prompt suggestions</t>
  </si>
  <si>
    <t>Owned disposable Pro/free fixture and intercepted AI response browser passed 29.1s: 1440x900,1280x800,1024x800 both surfaces; failure restores question, retry, all eight citations, original saved-answer reopen with no new request, free plan gate. data-chat-final.log.</t>
  </si>
  <si>
    <t>Same workflow passed at 390x844,360x800,1023x800 both surfaces with complete citation Sheet, saved-answer history and composer, one h1/no page overflow. Screenshots need transition-free refresh; physical keyboard remains unverified.</t>
  </si>
  <si>
    <t>Full real-service/permissions/credit-error/cancellation acceptance, storage corruption/disabled storage, account-switch history, AT/zoom/themes and physical keyboard outstanding. Legacy unscoped saved answers preserved on disk but not assigned to an unknown owner. Mocked responses do not verify AI accuracy or server billing.</t>
  </si>
  <si>
    <t>Selecting a past answer opens its original question and evidence context.</t>
  </si>
  <si>
    <t>src/app/(app)/data-chat/page.tsx; src/app/data-chat/data-chat-panel.tsx</t>
  </si>
  <si>
    <t>P21-C02</t>
  </si>
  <si>
    <t>Message composer and response state</t>
  </si>
  <si>
    <t>Double submission is prevented and drafts survive recoverable errors.</t>
  </si>
  <si>
    <t>P21-C03</t>
  </si>
  <si>
    <t>Answer citations and evidence panel</t>
  </si>
  <si>
    <t>Each citation resolves to evidence the current user is authorised to see.</t>
  </si>
  <si>
    <t>P21-C04</t>
  </si>
  <si>
    <t>Plan entitlement and unavailable AI states</t>
  </si>
  <si>
    <t>A paid lock is distinct from temporary service failure; no fake answer is displayed.</t>
  </si>
  <si>
    <t>src/app/(app)/data-chat/page.tsx</t>
  </si>
  <si>
    <t>P22-C01</t>
  </si>
  <si>
    <t>/analyse</t>
  </si>
  <si>
    <t>Analysis title and evidence overview</t>
  </si>
  <si>
    <t>Analysis workbench browser passed13.8s at1440x900,1280x800,390x844,360x800,1023x800,1024x800: compact title, provenance open/close/repair, illustrative SVG label, scoped comparison link, one h1/no page overflow. analyse-ui-smoke.log; TypeScript/scoped lint passed.</t>
  </si>
  <si>
    <t>Both-surface six-size hub browser passed in analysis-workspace-hub-browser.log after mobile Compare sessions/Conditions/Analysis workspace destinations implemented. Provenance open/close/repair, illustrative SVG label, scope links, one h1/no overflow. P22 companion screenshots available.</t>
  </si>
  <si>
    <t>Full destination task acceptance, state/AT/zoom/theme verification outstanding. Existing trusted-evidence date range mixes overall earliest session with latest trusted session; review scope reconciliation before acceptance. No paid component entitlement claimed.</t>
  </si>
  <si>
    <t>The hub does not imply data quality or completeness beyond available evidence.</t>
  </si>
  <si>
    <t>src/app/(app)/analyse/page.tsx</t>
  </si>
  <si>
    <t>P22-C02</t>
  </si>
  <si>
    <t>Shot-pattern entry point</t>
  </si>
  <si>
    <t>The destination preserves the preview's club/session scope.</t>
  </si>
  <si>
    <t>P22-C03</t>
  </si>
  <si>
    <t>Session comparison entry point</t>
  </si>
  <si>
    <t>No decorative delta appears without real comparison data.</t>
  </si>
  <si>
    <t>P22-C04</t>
  </si>
  <si>
    <t>Conditions analysis entry point</t>
  </si>
  <si>
    <t>Unrecorded weather or surface conditions are never inferred as measured.</t>
  </si>
  <si>
    <t>P22-C05</t>
  </si>
  <si>
    <t>Data-quality and provenance overview</t>
  </si>
  <si>
    <t>Overview totals reconcile with the actual filtered dataset.</t>
  </si>
  <si>
    <t>src/app/(app)/analyse/page.tsx; src/app/analyse/analyse-provenance-panel.tsx</t>
  </si>
  <si>
    <t>P23-C01</t>
  </si>
  <si>
    <t>/analyse/compare</t>
  </si>
  <si>
    <t>Baseline, focus and comparison scope</t>
  </si>
  <si>
    <t>Browser passed57.7s both surfaces at1440x900,1280x800,1024x800: searchable session sheets, filters, metric/view restored after reload, overlay, plotted shot table, provenance, save form cancel. session-compare-final.log and12 captures. Types/scoped lint passed before readiness guard; coordinated save/delete DB tests2 cases pass.</t>
  </si>
  <si>
    <t>Same browser passed390x844,360x800,1023x800 both surfaces: full filter/session sheets, stacked metric pairs, source details, exact shot values and save dialog accessible with one h1/no horizontal page overflow. Added hydration readiness to provenance trigger.</t>
  </si>
  <si>
    <t>Full save/delete mutation viewport matrix, copied URL/swap/Back-Forward, browser error/empty/long-content, AT/zoom/themes and physical keyboard remain outstanding. Saved search covers latest12 only; older saved comparison pagination needed. Frozen snapshot stores existing intended metrics; selected presentation metric/view not included in saved state.</t>
  </si>
  <si>
    <t>Reload and copied URLs restore the same baseline, focus and metric scope.</t>
  </si>
  <si>
    <t>src/app/(app)/analyse/compare/page.tsx; src/app/analyse/compare/session-comparison-toolbar.tsx</t>
  </si>
  <si>
    <t>P23-C02</t>
  </si>
  <si>
    <t>Focus against baseline visual</t>
  </si>
  <si>
    <t>Baseline and focus never swap labels accidentally.</t>
  </si>
  <si>
    <t>src/app/(app)/analyse/compare/page.tsx; src/app/analyse/compare/session-comparison-stage.tsx</t>
  </si>
  <si>
    <t>P23-C03</t>
  </si>
  <si>
    <t>Metric deltas and verdict</t>
  </si>
  <si>
    <t>Incompatible or insufficient comparisons are marked unavailable, not zero change.</t>
  </si>
  <si>
    <t>src/app/(app)/analyse/compare/page.tsx; src/components/ui/table.tsx</t>
  </si>
  <si>
    <t>P23-C04</t>
  </si>
  <si>
    <t>Comparison provenance</t>
  </si>
  <si>
    <t>Every comparison result can be traced to its included shots.</t>
  </si>
  <si>
    <t>src/app/(app)/analyse/compare/page.tsx; src/app/analyse/compare/comparison-provenance-panel.tsx</t>
  </si>
  <si>
    <t>P23-C05</t>
  </si>
  <si>
    <t>Save and manage comparisons</t>
  </si>
  <si>
    <t>Saving freezes/persists the existing intended comparison state; deletion targets only the named saved comparison.</t>
  </si>
  <si>
    <t>src/app/(app)/analyse/compare/page.tsx; src/app/analyse/compare/save-comparison-dialog.tsx; src/app/analyse/compare/delete-comparison-button.tsx</t>
  </si>
  <si>
    <t>P24-C01</t>
  </si>
  <si>
    <t>/analyse/conditions</t>
  </si>
  <si>
    <t>Club and conditions scope</t>
  </si>
  <si>
    <t>Clean Conditions browser passed in conditions-impact-final run at1440x900,1280x800,1024x800 both surfaces: dimension filters, unknown-group counts, source evidence drawer with exact shot links, one h1/no page overflow.12captures. Types/scoped lint and9 Conditions/Impact unit tests passed.</t>
  </si>
  <si>
    <t>Same workflow passed390x844,360x800,1023x800 both surfaces; expandable value pairs, complete recorded source fields, safe close, filter Apply and selected scope. Screenshot P24-companion-360 inspected.</t>
  </si>
  <si>
    <t>Full dated/matched/missing-metadata fixture matrix, invalid-date/club recovery, evidence pagination &gt;50, AT/zoom/themes and physical keyboard outstanding. Analysis retains existing latest5000-row cap and classifications; recorded fields are not independently certified measurements.</t>
  </si>
  <si>
    <t>Missing conditions remain a separate unknown group.</t>
  </si>
  <si>
    <t>src/app/(app)/analyse/conditions/page.tsx; src/components/ui/select.tsx</t>
  </si>
  <si>
    <t>P24-C02</t>
  </si>
  <si>
    <t>Strongest association and evidence strength</t>
  </si>
  <si>
    <t>No claim that a condition caused a change when the analysis only shows association.</t>
  </si>
  <si>
    <t>src/app/(app)/analyse/conditions/page.tsx; src/components/app/evidence-status.tsx</t>
  </si>
  <si>
    <t>P24-C03</t>
  </si>
  <si>
    <t>Recorded condition breakdowns</t>
  </si>
  <si>
    <t>Groups use recorded indoor/outdoor/weather/elevation/surface/ball data only.</t>
  </si>
  <si>
    <t>src/app/(app)/analyse/conditions/page.tsx; src/components/ui/table.tsx</t>
  </si>
  <si>
    <t>P24-C04</t>
  </si>
  <si>
    <t>Row-level proof and insufficient evidence</t>
  </si>
  <si>
    <t>The evidence destination retains the selected club and condition scope.</t>
  </si>
  <si>
    <t>P25-C01</t>
  </si>
  <si>
    <t>/analyse/session-impact</t>
  </si>
  <si>
    <t>Session and reversible filter controls</t>
  </si>
  <si>
    <t>Browser passed28.2s all6sizes/both surfaces using complete owned fixture: exclude selected/apply, included/excluded counts, reset, path estimate, one h1/no page overflow. Exact stored source shot values unchanged after previews. session-impact-complete-fixture.log.9 Conditions/Impact units and types passed.</t>
  </si>
  <si>
    <t>Same browser passed390x844,360x800,1023x800: full filter and shot selector Sheet, original/filtered metric labels and signed deltas, visible estimate limitations and source session navigation.12captures available.</t>
  </si>
  <si>
    <t>Full robust filter variants, empty/no-measurement and mixed carry/total/direction fixtures, &gt;100 session selection, AT/zoom/themes/physical keyboard pending. Existing total fallback calculation preserved and labelled; endpoints lacking direction excluded from visual only. No full acceptance claimed.</t>
  </si>
  <si>
    <t>Previewing filters never rewrites or deletes the source session.</t>
  </si>
  <si>
    <t>src/app/(app)/analyse/session-impact/page.tsx; src/app/analyse/session-impact/session-impact-client.tsx</t>
  </si>
  <si>
    <t>P25-C02</t>
  </si>
  <si>
    <t>Before and after results</t>
  </si>
  <si>
    <t>All differences are computed from the stated sample selection.</t>
  </si>
  <si>
    <t>P25-C03</t>
  </si>
  <si>
    <t>Top-down path estimate</t>
  </si>
  <si>
    <t>Estimated path is never relabelled as recorded ball flight.</t>
  </si>
  <si>
    <t>P25-C04</t>
  </si>
  <si>
    <t>What changes next and no-measurement state</t>
  </si>
  <si>
    <t>A session without measured shots shows a recovery state rather than simulated deltas.</t>
  </si>
  <si>
    <t>P26-C01</t>
  </si>
  <si>
    <t>/analyse/workspace</t>
  </si>
  <si>
    <t>Data-quality inbox</t>
  </si>
  <si>
    <t>Owned fixture browser passed32.7s: actual annotation/snapshot saves and stored detail inspection, issue search, all4tabs, draft/cancel, one h1/no overflow at1440x900,1280x800,1024x800 both surfaces. analysis-workspace-final.log and12captures.3backend DB tests verify ownership/validation/stored snapshot immutability/refresh failures; types/lint passed before optional-select fix.</t>
  </si>
  <si>
    <t>Same real form and navigation workflow passed390x844,360x800,1023x800 both surfaces. Complete state-form Sheets and stored snapshot evidence inspection; optional session sends empty value, preventing invalid-ID sentinel failure.</t>
  </si>
  <si>
    <t>Full repair workflow destination fixtures, populated equipment before/after chart fixture, browser save/delete failures, history pagination, AT/zoom/themes and physical keyboard remain outstanding. Equipment scan latest2000shots/latest change per club; notes/snapshots history remains capped. No full acceptance claimed.</t>
  </si>
  <si>
    <t>Resolving one issue does not silently clear unrelated warnings.</t>
  </si>
  <si>
    <t>src/app/(app)/analyse/workspace/page.tsx</t>
  </si>
  <si>
    <t>P26-C02</t>
  </si>
  <si>
    <t>Analysis notes and annotations</t>
  </si>
  <si>
    <t>Notes retain their intended entity/time scope and authorisation.</t>
  </si>
  <si>
    <t>P26-C03</t>
  </si>
  <si>
    <t>Equipment change analysis</t>
  </si>
  <si>
    <t>Unmatched conditions and small samples remain visible.</t>
  </si>
  <si>
    <t>P26-C04</t>
  </si>
  <si>
    <t>Point-in-time snapshots</t>
  </si>
  <si>
    <t>Reopening a snapshot retains point-in-time evidence instead of substituting current data.</t>
  </si>
  <si>
    <t>P27-C01</t>
  </si>
  <si>
    <t>/compare</t>
  </si>
  <si>
    <t>Progress, club and player comparison modes</t>
  </si>
  <si>
    <t>Three URL modes retain mounted scope; searchable selectors; full numeric table; save/error/delete state actions; saved Reopen document navigation restores stored IDs. Actual isolated progress save/reopen DB verification and 1440x900/1280x800/1024x800 checks pass in p27-browser-final.log (34.8s).</t>
  </si>
  <si>
    <t>Full companion route; all three modes, searchable focus/baseline Sheets, paired metric rows with every field, searchable club movement/details and evidence/trend values, save/cancel/reopen. 390x844/360x800/1023x800 and explicit both-surface checks pass; P27 screenshots in output/playwright/ui-upgrade/p27-browser-final. Mobile selector squeeze caught visually and fixed.</t>
  </si>
  <si>
    <t>Broader acceptance remains: populated player and two-club browser matrices, full error/delete interactions, AT/zoom/themes/physical keyboard and complete saved-history pagination. Latest 36 saved entries disclosed. Reopen recalculates current data rather than replaying frozen charts. Existing 7-day focus calculation preserved for both 7/30-day baselines and UI labels corrected. Paid reference code unavailable; local accessible alternatives registered.</t>
  </si>
  <si>
    <t>Mode changes do not leak private player data or silently reset compatible scope.</t>
  </si>
  <si>
    <t>src/app/(app)/compare/page.tsx; src/components/ui/button-group.tsx</t>
  </si>
  <si>
    <t>P27-C02</t>
  </si>
  <si>
    <t>Progress period controls and club movement</t>
  </si>
  <si>
    <t>Period boundaries and sample compatibility are visible.</t>
  </si>
  <si>
    <t>src/app/(app)/compare/page.tsx; src/app/compare/progress-compare-client.tsx</t>
  </si>
  <si>
    <t>P27-C03</t>
  </si>
  <si>
    <t>Trend shape and period history</t>
  </si>
  <si>
    <t>Missing history remains missing; direction is not inferred from a single observation.</t>
  </si>
  <si>
    <t>P27-C04</t>
  </si>
  <si>
    <t>Club-versus-club selection and metrics</t>
  </si>
  <si>
    <t>The selected clubs and datasets are consistent throughout the comparison.</t>
  </si>
  <si>
    <t>src/app/(app)/compare/page.tsx; src/app/compare/club-compare-client.tsx</t>
  </si>
  <si>
    <t>P27-C05</t>
  </si>
  <si>
    <t>Player comparison and tournament scores</t>
  </si>
  <si>
    <t>Private player measurements are never exposed by the redesigned controls.</t>
  </si>
  <si>
    <t>src/app/(app)/compare/page.tsx; src/app/compare/player-compare-client.tsx</t>
  </si>
  <si>
    <t>P27-C06</t>
  </si>
  <si>
    <t>Saved comparisons and actions</t>
  </si>
  <si>
    <t>Opening a saved item restores its exact persisted mode and scope.</t>
  </si>
  <si>
    <t>src/app/(app)/compare/page.tsx; src/app/compare/comparison-workspace.tsx</t>
  </si>
  <si>
    <t>P28-C01</t>
  </si>
  <si>
    <t>/strokes-gained</t>
  </si>
  <si>
    <t>Scope, category and active filters</t>
  </si>
  <si>
    <t>Scope-preserving native filter Sheet/category links; mapped-only coverage and baseline disclosure; practice above analysis; unchanged category totals now plotted cumulatively; numeric alternatives and scoped ledger retained. Synthetic +1/-2/pending events across1440/1280/1024 and both surfaces pass p28-browser-complete.log19.0s.</t>
  </si>
  <si>
    <t>Dedicated responsive CSS avoids workbench lg:hidden override; full searchable event list and complete input/penalty/expected-strokes/status Sheet; all hole disclosures, cumulative exact values and filters. Both surfaces at390x844/360x800/1023x800 passed19.0s;12screenshots p28-browser-complete, inspected390companion. Actual date/category preservation and unchanged source shots verified.</t>
  </si>
  <si>
    <t>Broad acceptance outstanding: AT/zoom/themes/physical keyboard, all error/empty/long-name filters, full-history pagination beyond existing200-event cap, round trend beyond6rounds. Historical baseline version not stored; current lookup explicitly labelled. Existing generic practice link still selects latest weakness rather than exact SG-category drill (integration gap). Scope includes mapped events only, cannot establish complete-round SG.</t>
  </si>
  <si>
    <t>Selected category and URL state drive every chart and ledger.</t>
  </si>
  <si>
    <t>src/app/(app)/strokes-gained/page.tsx</t>
  </si>
  <si>
    <t>P28-C02</t>
  </si>
  <si>
    <t>Calculation coverage and baseline</t>
  </si>
  <si>
    <t>An incomplete round cannot appear as fully calculated strokes gained.</t>
  </si>
  <si>
    <t>P28-C03</t>
  </si>
  <si>
    <t>Category breakdown</t>
  </si>
  <si>
    <t>Gains/losses use consistent sign conventions and reconcile with the calculated total.</t>
  </si>
  <si>
    <t>P28-C04</t>
  </si>
  <si>
    <t>Gain/loss waterfall</t>
  </si>
  <si>
    <t>Cumulative steps reconcile with the total; no decorative bar heights.</t>
  </si>
  <si>
    <t>P28-C05</t>
  </si>
  <si>
    <t>Main scoring leak and practice action</t>
  </si>
  <si>
    <t>The selected category scope is reflected in the recommendation.</t>
  </si>
  <si>
    <t>P28-C06</t>
  </si>
  <si>
    <t>Round trend and hole impact</t>
  </si>
  <si>
    <t>Estimated/mapped event coverage remains visible for each round/hole.</t>
  </si>
  <si>
    <t>P28-C07</t>
  </si>
  <si>
    <t>Shot highlights and calculation ledger</t>
  </si>
  <si>
    <t>Every displayed contribution traces to an authorised event and baseline.</t>
  </si>
  <si>
    <t>P29-C01</t>
  </si>
  <si>
    <t>/simulator-lab</t>
  </si>
  <si>
    <t>Lab summary and range-reality estimate</t>
  </si>
  <si>
    <t>URL Analysis/Gapping/Session&amp;setup/Optionalbanter panels retain state. Searchable full evidence, exact existing snapshots/date bounds/source links, what-if numeric/reset, confidence gaps and filtered shot detail with unchanged renderer. Browser p29-browser-interaction.log35.3s passes1440/1280/1024 on both surfaces; DTO8tests/types/scopedlint pass.</t>
  </si>
  <si>
    <t>Complete companion Lab with all tasks. Searchable plot points+touch/keyboard detailSheet, gapping selector, latest/baseline metric evidence, bounded numeric projections, optional private dialog/cancel/error recovery.390x844/360x800/1023x800 and both-surface12capturematrix pass35.3s. Inspected390companion. MockedAI503→success; original shots unchanged.</t>
  </si>
  <si>
    <t>Broad acceptance outstanding: AT/zoom/themes/physical keyboard, populated setup-impact browser fixture, full historical pages beyond source caps/latest12changes, source model monthly sample counts unavailable. Private draft save/duplicate server outcomes not browser-mutated; generation was mocked(no paid call). Range estimate remains unofficial. Paid example code unavailable; registered local accessible alternatives. Existing practice planner handoff is generic rather than exact prescribed drill.</t>
  </si>
  <si>
    <t>The range-derived estimate is clearly unofficial and separate from real-round handicap.</t>
  </si>
  <si>
    <t>src/app/(app)/simulator-lab/page.tsx; src/components/premium.tsx</t>
  </si>
  <si>
    <t>P29-C02</t>
  </si>
  <si>
    <t>WITB gapping matrix</t>
  </si>
  <si>
    <t>Projected or peak values never overwrite recommended carry.</t>
  </si>
  <si>
    <t>src/app/(app)/simulator-lab/page.tsx; src/app/simulator-lab/gapping-matrix-client.tsx</t>
  </si>
  <si>
    <t>P29-C03</t>
  </si>
  <si>
    <t>Indoor session deltas</t>
  </si>
  <si>
    <t>Outdoor and incompatible samples are not silently added to the indoor comparison.</t>
  </si>
  <si>
    <t>src/app/(app)/simulator-lab/page.tsx</t>
  </si>
  <si>
    <t>P29-C04</t>
  </si>
  <si>
    <t>Tinkering ledger</t>
  </si>
  <si>
    <t>A setup association is not labelled a proven causal improvement.</t>
  </si>
  <si>
    <t>P29-C05</t>
  </si>
  <si>
    <t>Shot-pattern map</t>
  </si>
  <si>
    <t>Filtering and displayed sample count remain in sync.</t>
  </si>
  <si>
    <t>P29-C06</t>
  </si>
  <si>
    <t>Score costs, bag truth and today's practice</t>
  </si>
  <si>
    <t>No duplicate conflicting primary recommendation across lab panels.</t>
  </si>
  <si>
    <t>P29-C07</t>
  </si>
  <si>
    <t>What-if estimate controls</t>
  </si>
  <si>
    <t>What-if changes are read-only and never become saved performance evidence.</t>
  </si>
  <si>
    <t>src/app/(app)/simulator-lab/page.tsx; src/app/simulator-lab/what-if-client.tsx</t>
  </si>
  <si>
    <t>P29-C08</t>
  </si>
  <si>
    <t>Confidence history</t>
  </si>
  <si>
    <t>Unsupported months remain gaps.</t>
  </si>
  <si>
    <t>P29-C09</t>
  </si>
  <si>
    <t>Optional private session banter</t>
  </si>
  <si>
    <t>Generated banter stays private under existing rules and is not treated as measured advice.</t>
  </si>
  <si>
    <t>src/app/(app)/simulator-lab/page.tsx; src/app/simulator-lab/session-roast-panel.tsx</t>
  </si>
  <si>
    <t>P30-C01</t>
  </si>
  <si>
    <t>/speed</t>
  </si>
  <si>
    <t>Speed-development overview</t>
  </si>
  <si>
    <t>Full Speed Centre sections on both surfaces; searchable club focus, precise projection/reset, retained goal/manual forms, source/side trend filters, complete reading/source ledger and R-Cloud controls. speed-centre-browser-final.log passed23.2s at both surfaces x1440x900,1280x800,390x844,360x800,1023x800,1024x800; exact five saved readings/single receipt and original golf shots unchanged. P30 screenshots;390companion inspected. Provider imports mocked in isolated DB tests; no live provider action.</t>
  </si>
  <si>
    <t>Full acceptance outstanding: source/side filtered-empty browser coverage; populated provider connection/import error states; uncertainty/replay manual-save receipt; AT,200%zoom,themes,physicalsafeareas. Mobile screenshot shows shared sticky top chrome crossing description after scroll; shared header acceptance remains open. No paid advanced component entitlement; registered local adapters used.</t>
  </si>
  <si>
    <t>No-ball training is always distinct from with-ball club speed.</t>
  </si>
  <si>
    <t>src/app/(app)/speed/page.tsx; src/components/speed/driver-speed-development.tsx; src/app/speed/speed-companion-page.tsx</t>
  </si>
  <si>
    <t>P30-C02</t>
  </si>
  <si>
    <t>Club focus selector and summary</t>
  </si>
  <si>
    <t>Selecting an iron does not leave a stale Driver heading or calculation.</t>
  </si>
  <si>
    <t>src/app/(app)/speed/page.tsx; src/app/speed/club-speed-focus.tsx</t>
  </si>
  <si>
    <t>P30-C03</t>
  </si>
  <si>
    <t>Speed goals and target date</t>
  </si>
  <si>
    <t>Saved targets override recommendations only according to existing domain rules.</t>
  </si>
  <si>
    <t>src/app/(app)/speed/page.tsx; src/components/ui/input.tsx</t>
  </si>
  <si>
    <t>P30-C04</t>
  </si>
  <si>
    <t>Club-speed evidence ledger</t>
  </si>
  <si>
    <t>Mixed source types are not averaged into a misleading single measured speed.</t>
  </si>
  <si>
    <t>src/app/(app)/speed/page.tsx</t>
  </si>
  <si>
    <t>P30-C05</t>
  </si>
  <si>
    <t>Speed trend and recent sessions</t>
  </si>
  <si>
    <t>Every point opens the correct source session.</t>
  </si>
  <si>
    <t>P30-C06</t>
  </si>
  <si>
    <t>Future carry projection</t>
  </si>
  <si>
    <t>Projected carry never updates saved bag recommendations.</t>
  </si>
  <si>
    <t>src/app/(app)/speed/page.tsx; src/app/speed/future-bag-slider.tsx</t>
  </si>
  <si>
    <t>P30-C07</t>
  </si>
  <si>
    <t>Athletic development and speed profile</t>
  </si>
  <si>
    <t>Unlocks and prescriptions reflect existing criteria, not UI-only completion.</t>
  </si>
  <si>
    <t>P30-C08</t>
  </si>
  <si>
    <t>Add speed session</t>
  </si>
  <si>
    <t>All submitted readings round-trip accurately and duplicate saves are prevented.</t>
  </si>
  <si>
    <t>P30-C09</t>
  </si>
  <si>
    <t>R-Cloud speed connection and session inbox</t>
  </si>
  <si>
    <t>Historical imports do not imply the provider is currently connected.</t>
  </si>
  <si>
    <t>P31-C01</t>
  </si>
  <si>
    <t>/speed/sessions/[sessionId]</t>
  </si>
  <si>
    <t>Session identity and summary</t>
  </si>
  <si>
    <t>Full common session UI, retained URL sections, exact reading and phase/source details, chart tap/native selection, complete stateful edit/transfer and named delete dialog. speed-session-browser-retry.log passed21.9s across both surfaces and six required sizes: swing detail, selected value, tab draft retention, delete cancel, invalid edit recovery and exact corrected readings; original shots unchanged. Screenshot390companion inspected; narrow fatigue metric truncation corrected after capture. Scoped types/lint pass; isolated backend edit/link/delete ownership and rollback proofs pass.</t>
  </si>
  <si>
    <t>Full acceptance outstanding: browser positive five-ball transfer and confirmed deletion; summary-only/long history fixtures; AT,zoom,themes and physical safeareas. First cold navigation hydration-ready timed out; stable rerun passed with no pageerror diagnostic. Shared mobile sticky header overlaps after scrolling; narrow fatigue metric wrapping refinement needs refreshed screenshot. Existing fatigue domain calculation retained.</t>
  </si>
  <si>
    <t>Summary-only sessions are identified and do not invent individual swings.</t>
  </si>
  <si>
    <t>src/app/(app)/speed/sessions/[sessionId]/page.tsx; src/components/premium.tsx; src/app/speed/speed-session-companion.tsx</t>
  </si>
  <si>
    <t>P31-C02</t>
  </si>
  <si>
    <t>Swing detail and fatigue pattern</t>
  </si>
  <si>
    <t>The chart uses the actual swing order and does not infer missing readings.</t>
  </si>
  <si>
    <t>src/app/(app)/speed/sessions/[sessionId]/page.tsx; src/components/speed/speed-fatigue-chart.tsx</t>
  </si>
  <si>
    <t>P31-C03</t>
  </si>
  <si>
    <t>Swing log</t>
  </si>
  <si>
    <t>Peak, median and count reconcile with the saved readings.</t>
  </si>
  <si>
    <t>src/app/(app)/speed/sessions/[sessionId]/page.tsx</t>
  </si>
  <si>
    <t>P31-C04</t>
  </si>
  <si>
    <t>Edit session</t>
  </si>
  <si>
    <t>Corrections recompute dependent summaries consistently.</t>
  </si>
  <si>
    <t>P31-C05</t>
  </si>
  <si>
    <t>Five-shot transfer test</t>
  </si>
  <si>
    <t>No-ball swings are not accepted as ball-transfer shots; the stated 4/5 criterion matches the result.</t>
  </si>
  <si>
    <t>src/app/(app)/speed/sessions/[sessionId]/page.tsx; src/app/speed/mobile-speed-transfer.tsx</t>
  </si>
  <si>
    <t>P31-C06</t>
  </si>
  <si>
    <t>Delete speed session</t>
  </si>
  <si>
    <t>Cancellation performs no mutation; success returns to a valid list route.</t>
  </si>
  <si>
    <t>src/app/(app)/speed/sessions/[sessionId]/page.tsx; src/components/app/confirm-submit-button.tsx</t>
  </si>
  <si>
    <t>P32-C01</t>
  </si>
  <si>
    <t>/stats/training-over-time</t>
  </si>
  <si>
    <t>Current load and readiness summary</t>
  </si>
  <si>
    <t>Common full Training Load page on both surfaces; supported range Sheet, exact selected-window count/ledger, separate current-readiness explanation, full mobile series/date values, all-field source-linked detail, retained manual/RPE form. training-load-browser-ready.log passed28.7s12views:7dayrange+ledger/details, retained closed/reopened draft, invalidduration recovery then single30min/RPE5save; original shots unchanged. Screenshots390companion inspected. Types/scopedlint and isolated Training date/load/sourceowner/duplicate tests pass.</t>
  </si>
  <si>
    <t>Full acceptance outstanding: historical source/permission/delete/edit matrices, AT/zoom/themes/physicalsafeareas; customdates and activityfilters not supported by existing range model. Current speed readiness and workload-only guidance use separate existing models; unified recommendation acceptance pending. First unhydrated range click fixed with disabled readinessguard. Old source-linked suggestion UI still legacy submit; this page uses stateform. Paid advanced templates unavailable; accessible local adapters recorded.</t>
  </si>
  <si>
    <t>Training status is presented as app guidance, not a medical clearance.</t>
  </si>
  <si>
    <t>src/app/(app)/stats/training-over-time/page.tsx; src/components/training/TrainingStatusCard.tsx; src/components/training/TrainingSummaryCards.tsx</t>
  </si>
  <si>
    <t>P32-C02</t>
  </si>
  <si>
    <t>Date range and activity scope</t>
  </si>
  <si>
    <t>Range changes update summary, chart and session list together.</t>
  </si>
  <si>
    <t>src/app/(app)/stats/training-over-time/page.tsx; src/components/training/TrainingLoadRangeView.tsx</t>
  </si>
  <si>
    <t>P32-C03</t>
  </si>
  <si>
    <t>Load over time chart</t>
  </si>
  <si>
    <t>Zero recorded load and missing records are handled according to the actual data model.</t>
  </si>
  <si>
    <t>src/app/(app)/stats/training-over-time/page.tsx; src/components/training/TrainingOverTimeChart.tsx; src/components/training/TrainingLoadRangeView.tsx; src/components/training/TrainingLoadBars.tsx</t>
  </si>
  <si>
    <t>P32-C04</t>
  </si>
  <si>
    <t>Speed readiness explanation</t>
  </si>
  <si>
    <t>Recommendation matches the same selected timeframe and source data.</t>
  </si>
  <si>
    <t>src/app/(app)/stats/training-over-time/page.tsx</t>
  </si>
  <si>
    <t>P32-C05</t>
  </si>
  <si>
    <t>Manual training entry and effort selector</t>
  </si>
  <si>
    <t>Effort values preserve the existing scale and resulting workload calculation.</t>
  </si>
  <si>
    <t>src/app/(app)/stats/training-over-time/page.tsx; src/components/training/TrainingSessionForm.tsx; src/components/training/RpeSelector.tsx</t>
  </si>
  <si>
    <t>P32-C06</t>
  </si>
  <si>
    <t>Recent training sessions</t>
  </si>
  <si>
    <t>Imported and manually logged records remain distinguishable.</t>
  </si>
  <si>
    <t>src/app/(app)/stats/training-over-time/page.tsx; src/components/training/RecentTrainingSessions.tsx</t>
  </si>
  <si>
    <t>P33-C01</t>
  </si>
  <si>
    <t>/goals</t>
  </si>
  <si>
    <t>Season outcome and weekly rhythm</t>
  </si>
  <si>
    <t>Complete responsive Goals, season editor, actual measured-session rhythm, saved-value cards, evidence sheet and controlled create/edit/delete forms. App smoke passed 17.4s across both surfaces and six sizes; goals-ui-smoke.log. Isolated form failure/retry/pending/UUID retention passed 20.4s; goals-form-fixture.log. Final TypeScript passed.</t>
  </si>
  <si>
    <t>Same full Goals tasks at 390x844/360x800 plus 1023/1024 breakpoint. Form fixture verifies retained failed-save draft, error focus, pending lock and delete failure remaining open at all six sizes. Screenshots in goals-ui-smoke and goal form fixture output.</t>
  </si>
  <si>
    <t>UI implemented; full acceptance pending. Goal measurement dates and qualified shot history are not stored; evidence sheet labels this explicitly. New optional improvement-project backend/UI integration in progress. Live browser mutations, full AT/native zoom/theme and state matrix deferred.</t>
  </si>
  <si>
    <t>Saved rhythm and dates persist and drive the displayed plan.</t>
  </si>
  <si>
    <t>src/app/(app)/goals/page.tsx</t>
  </si>
  <si>
    <t>P33-C02</t>
  </si>
  <si>
    <t>Plan steps and current commitment</t>
  </si>
  <si>
    <t>Complete responsive Goals, season editor, actual measured-session rhythm, saved-value cards, evidence sheet and controlled create/edit/delete forms. App smoke passed 17.4s across both surfaces and six sizes; goals-ui-smoke.log. Isolated form failure/retry/pending/UUID retention passed 20.4s; goals-form-fixture.log. Final TypeScript passed. Goal improvement project integrated: owned baseline/saved practice/drills/status/qualified later evidence and comparison links. goal-project-browser.log passed7.9s12views; exactbaseline+plan IDs persisted, no later-evidence false claim, originalshots unchanged. Existing UI preserved.</t>
  </si>
  <si>
    <t>Same full Goals tasks at 390x844/360x800 plus 1023/1024 breakpoint. Form fixture verifies retained failed-save draft, error focus, pending lock and delete failure remaining open at all six sizes. Screenshots in goals-ui-smoke and goal form fixture output. Goal improvement project integrated: owned baseline/saved practice/drills/status/qualified later evidence and comparison links. goal-project-browser.log passed7.9s12views; exactbaseline+plan IDs persisted, no later-evidence false claim, originalshots unchanged. Existing UI preserved.</t>
  </si>
  <si>
    <t>UI implemented; full acceptance pending. Goal measurement dates and qualified shot history are not stored; evidence sheet labels this explicitly. New optional improvement-project backend/UI integration in progress. Live browser mutations, full AT/native zoom/theme and state matrix deferred. Positive browser later-evidence comparison flow and historicaloptionpagination remain; project service now wired into UI.</t>
  </si>
  <si>
    <t>Completion state is derived from saved plan/evidence, not inferred from opening a page.</t>
  </si>
  <si>
    <t>P33-C03</t>
  </si>
  <si>
    <t>Measured goal cards</t>
  </si>
  <si>
    <t>The same goal agrees with the Progress Goals tab.</t>
  </si>
  <si>
    <t>P33-C04</t>
  </si>
  <si>
    <t>Create and edit goal</t>
  </si>
  <si>
    <t>Units, selected club and target direction are explicit and saved correctly.</t>
  </si>
  <si>
    <t>src/app/(app)/goals/page.tsx; src/app/goals/goal-form-panels.tsx</t>
  </si>
  <si>
    <t>P33-C05</t>
  </si>
  <si>
    <t>Goal evidence</t>
  </si>
  <si>
    <t>No unqualified measurement counts towards the target.</t>
  </si>
  <si>
    <t>src/app/(app)/goals/page.tsx; src/components/app/evidence-status.tsx</t>
  </si>
  <si>
    <t>P33-C06</t>
  </si>
  <si>
    <t>Delete goal</t>
  </si>
  <si>
    <t>Source sessions and shots remain intact.</t>
  </si>
  <si>
    <t>P34-C01</t>
  </si>
  <si>
    <t>/handicap</t>
  </si>
  <si>
    <t>Best-form and realistic playing estimates</t>
  </si>
  <si>
    <t>Actual owned fixture, both surfaces at 1440x900,1280x800,390x844,360x800,1023/1024: handicap-browser-wrapped.log PASS 21.9s. Full methods, nine-hole equivalents, incomplete-round exclusion, source details, tabs and no page overflow; 390 screenshot inspected.</t>
  </si>
  <si>
    <t>Paid advanced Untitled compositions unavailable; accessible local composition. Full acceptance, screen reader, zoom, themes, permissions, large history and shared sticky-bar overlap outstanding. Round correction mutation unverified.</t>
  </si>
  <si>
    <t>The app's estimates are clearly unofficial and distinct from an official handicap index.</t>
  </si>
  <si>
    <t>src/app/(app)/handicap/page.tsx</t>
  </si>
  <si>
    <t>P34-C02</t>
  </si>
  <si>
    <t>Eligible-round trend</t>
  </si>
  <si>
    <t>No trend point appears without an eligible source round.</t>
  </si>
  <si>
    <t>P34-C03</t>
  </si>
  <si>
    <t>Range-derived estimate and confidence</t>
  </si>
  <si>
    <t>Range shots are not misrepresented as real-course scores.</t>
  </si>
  <si>
    <t>P34-C04</t>
  </si>
  <si>
    <t>Score differential table</t>
  </si>
  <si>
    <t>Nine-hole equivalents and fallback assumptions remain explicit.</t>
  </si>
  <si>
    <t>src/app/(app)/handicap/page.tsx; src/components/premium.tsx</t>
  </si>
  <si>
    <t>P34-C05</t>
  </si>
  <si>
    <t>Data to improve</t>
  </si>
  <si>
    <t>Corrections update estimates consistently without changing unrelated rounds.</t>
  </si>
  <si>
    <t>src/app/(app)/handicap/page.tsx; src/components/features/feature-panels.tsx</t>
  </si>
  <si>
    <t>P35-C01</t>
  </si>
  <si>
    <t>/import</t>
  </si>
  <si>
    <t>Import title and current operation</t>
  </si>
  <si>
    <t>Compact Import header and history separation; current upload controls.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</si>
  <si>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Broader mutation, parser-error/retry, correction persistence, OCR fixture, duplicate/retry, native zoom, screen-reader and keyboard/safe-area matrix deferred per UI-first instruction. No full acceptance claim.</t>
  </si>
  <si>
    <t>Past import totals do not imply that the current import steps are completed.</t>
  </si>
  <si>
    <t>src/app/(app)/import/page.tsx; src/app/(app)/import/import-workbench-page.tsx</t>
  </si>
  <si>
    <t>P35-C02</t>
  </si>
  <si>
    <t>Source selection cards</t>
  </si>
  <si>
    <t>Namespaced React Aria Icon card selection with separated text/badges and stacked mobile cards.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</si>
  <si>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At 1280, 1440, 360 and 390px no words collapse into one-letter columns and no badge steals the description width.</t>
  </si>
  <si>
    <t>https://www.untitledui.com/react/components/radio-groups</t>
  </si>
  <si>
    <t>P35-C03</t>
  </si>
  <si>
    <t>Four-step import progress</t>
  </si>
  <si>
    <t>Current-operation stepper with named stage, Back and expandable details; no historical totals.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</si>
  <si>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A new import begins at source/files and does not inherit completed checks from old imports.</t>
  </si>
  <si>
    <t>src/app/(app)/import/page.tsx; src/app/import/import-stepper.tsx</t>
  </si>
  <si>
    <t>P35-C04</t>
  </si>
  <si>
    <t>File picker and upload queue</t>
  </si>
  <si>
    <t>Files/drop-zone guidance, read progress, errors/retry/removal and wrapped names.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</si>
  <si>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Unsupported files fail clearly without destroying other valid queued files.</t>
  </si>
  <si>
    <t>src/app/(app)/import/page.tsx; src/app/import/upload-dropzone.tsx</t>
  </si>
  <si>
    <t>https://www.untitledui.com/react/components/file-uploaders</t>
  </si>
  <si>
    <t>P35-C05</t>
  </si>
  <si>
    <t>Confirm session settings</t>
  </si>
  <si>
    <t>Aria session controls, chosen date and settings confirmation; complete phone workflow plus retained quick import draft.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</si>
  <si>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Saved session type and units match user choices and parser metadata.</t>
  </si>
  <si>
    <t>src/app/(app)/import/page.tsx; src/app/import/session-settings.tsx</t>
  </si>
  <si>
    <t>P35-C06</t>
  </si>
  <si>
    <t>Manual column mapping</t>
  </si>
  <si>
    <t>Aria column mapping with source samples, required/duplicate mapping feedback.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</si>
  <si>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Required columns cannot be silently omitted or mapped twice where invalid.</t>
  </si>
  <si>
    <t>src/app/(app)/import/page.tsx; src/app/import/column-mapping-panel.tsx</t>
  </si>
  <si>
    <t>P35-C07</t>
  </si>
  <si>
    <t>Scorecard extraction and round mapping</t>
  </si>
  <si>
    <t>Touch hole picker/previous/next, retained SVG geometry, extracted-value acknowledgement and 44px editing controls.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</si>
  <si>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Estimated/OCR values require the existing confirmation flow and remain labelled appropriately.</t>
  </si>
  <si>
    <t>src/app/(app)/import/page.tsx; src/app/import/scorecard-extraction-panel.tsx; src/app/import/course-overlay.tsx</t>
  </si>
  <si>
    <t>P35-C08</t>
  </si>
  <si>
    <t>Shot preview and uncertain club review</t>
  </si>
  <si>
    <t>All parsed shots retained with pagination/search; mobile detail sheet, warnings and source-row club corrections.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</si>
  <si>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Unresolved club or unit ambiguity cannot be hidden by styling.</t>
  </si>
  <si>
    <t>src/app/(app)/import/page.tsx; src/app/import/shot-preview.tsx</t>
  </si>
  <si>
    <t>P35-C09</t>
  </si>
  <si>
    <t>Save checklist and submission</t>
  </si>
  <si>
    <t>Single pending-safe action with current files/session context and explicit checklist.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</si>
  <si>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One action creates one intended import; retry does not silently duplicate saved sessions.</t>
  </si>
  <si>
    <t>src/app/(app)/import/page.tsx; src/app/import/save-checklist-card.tsx</t>
  </si>
  <si>
    <t>P35-C10</t>
  </si>
  <si>
    <t>File library and recent imports</t>
  </si>
  <si>
    <t>Historical file table plus mobile dated disclosures with all metadata/reopen/archive controls; no stepper coupling. UI-first batch: TypeScript/scoped lint pass; sample UI smoke1passed1.6m on both surfaces at1440x900,1280x800,390x844,360x800,1023x800,1024x800.5sample rows,disabled save,no pageerrors/no page overflow. Screenshots: output/playwright/ui-upgrade/import-ui-smoke. Mapping disclosure/quick-picker error display refined after smoke.</t>
  </si>
  <si>
    <t>Historical state cannot make the current stepper look complete.</t>
  </si>
  <si>
    <t>P36-C01</t>
  </si>
  <si>
    <t>/import/result</t>
  </si>
  <si>
    <t>Import outcome and saved-session action</t>
  </si>
  <si>
    <t>UI-first code applied: explicit missing/unavailable recovery, compact saved-result header, session-scoped receipt counts/review links, all matched block decisions with mobile disclosure, plan/session context retained. TypeScript/scoped lint pass. Browser result fixtures not run in this pass.</t>
  </si>
  <si>
    <t>Result success/partial/permission and matched/unmatched practice browser fixtures, six viewport captures and inherited accessibility acceptance remain outstanding.</t>
  </si>
  <si>
    <t>A missing result identifier produces a clear recovery path to Import/history, not a fabricated success.</t>
  </si>
  <si>
    <t>src/app/(app)/import/result/page.tsx</t>
  </si>
  <si>
    <t>P36-C02</t>
  </si>
  <si>
    <t>Data trust checks</t>
  </si>
  <si>
    <t>Counts reconcile with the saved import and excluded rows remain inspectable.</t>
  </si>
  <si>
    <t>P36-C03</t>
  </si>
  <si>
    <t>Planned practice review</t>
  </si>
  <si>
    <t>Unmatched imports do not automatically complete a practice plan.</t>
  </si>
  <si>
    <t>P36-C04</t>
  </si>
  <si>
    <t>Next practice and evidence destinations</t>
  </si>
  <si>
    <t>Each destination carries the saved session/plan context.</t>
  </si>
  <si>
    <t>P37-C01</t>
  </si>
  <si>
    <t>/rapsodo</t>
  </si>
  <si>
    <t>Connection form and connection state</t>
  </si>
  <si>
    <t>Isolated real-UI mocked-provider fixture, both surfaces at all six requested sizes: rapsodo-fixture-import.log PASS 19.9s. Login error/retry retains credentials; preview club correction survives close/resume; exact remote ID saved once; success receipt includes metadata warning. No real provider calls.</t>
  </si>
  <si>
    <t>Paid advanced Untitled compositions unavailable; accessible local composition. Full acceptance, screen reader, zoom, themes, permissions, large history and shared sticky-bar overlap outstanding. Actual provider/server-shell integration and provider error matrix outstanding; fixture is mocked, not a live cloud integration test.</t>
  </si>
  <si>
    <t>Historical imported Rapsodo files are not labelled as a current live connection.</t>
  </si>
  <si>
    <t>src/app/(app)/rapsodo/page.tsx; src/app/rapsodo/rapsodo-sync-client.tsx</t>
  </si>
  <si>
    <t>P37-C02</t>
  </si>
  <si>
    <t>Remote-session inbox and sync controls</t>
  </si>
  <si>
    <t>Repeated sync does not silently duplicate already imported sessions.</t>
  </si>
  <si>
    <t>P37-C03</t>
  </si>
  <si>
    <t>Session preview and review shots</t>
  </si>
  <si>
    <t>Preview and saved session refer to the same remote session identifier.</t>
  </si>
  <si>
    <t>P37-C04</t>
  </si>
  <si>
    <t>Course import and mapping</t>
  </si>
  <si>
    <t>No course is automatically misidentified just to clear the import flow.</t>
  </si>
  <si>
    <t>P38-C01</t>
  </si>
  <si>
    <t>/providers</t>
  </si>
  <si>
    <t>Connections and Diagnostics tabs</t>
  </si>
  <si>
    <t>Providers actual isolated account, both surfaces x six requested sizes: providers-browser-controls.log PASS 24.9s. Connection sheet, latest failed job error state, full remote/local session details and correct source link, URL tabs, no horizontal overflow, raw shots unchanged. TypeScript/scoped lint passed. Screenshot review corrected old Ready health badge; providers-browser-health.log PASS25.1s verifies Needs review.</t>
  </si>
  <si>
    <t>Paid advanced Untitled examples unavailable; local accessible composition. No per-stage backend timeline or operation-specific retry API; latest recorded job shown honestly. Latest 20 ledger coverage explicit, no server pagination available. Live disconnect/error fixture, screen reader, zoom, themes, safe-area and full state matrix outstanding. Earlier script-loading errors absent in passing run; shared runtime investigation remains open.</t>
  </si>
  <si>
    <t>No authorised provider operation is lost behind a desktop handoff.</t>
  </si>
  <si>
    <t>src/app/(app)/providers/page.tsx; src/components/ui/tabs.tsx</t>
  </si>
  <si>
    <t>P38-C02</t>
  </si>
  <si>
    <t>Provider connection cards and actions</t>
  </si>
  <si>
    <t>Disconnecting explains scope and does not delete historical imported sessions.</t>
  </si>
  <si>
    <t>src/app/(app)/providers/page.tsx; src/app/providers/provider-connection-actions.tsx</t>
  </si>
  <si>
    <t>P38-C03</t>
  </si>
  <si>
    <t>Provider session ledger</t>
  </si>
  <si>
    <t>Imported history and current connection health remain distinct.</t>
  </si>
  <si>
    <t>src/app/(app)/providers/page.tsx</t>
  </si>
  <si>
    <t>P38-C04</t>
  </si>
  <si>
    <t>Health checks and operation timeline</t>
  </si>
  <si>
    <t>Failed steps are not styled as completed; retry targets the correct operation.</t>
  </si>
  <si>
    <t>src/app/(app)/providers/page.tsx; src/components/app/operation-stepper.tsx; src/components/app/status-timeline.tsx</t>
  </si>
  <si>
    <t>P39-C01</t>
  </si>
  <si>
    <t>/companion-runtime/import</t>
  </si>
  <si>
    <t>Import a session source actions</t>
  </si>
  <si>
    <t>Direct companion runtime routes at 1440x900,1280x800,390x844,360x800,1023/1024: companion-import-browser.log PASS 22.0s. Actual owned saved-session source/link, CSV source action, canonical full five-shot preview, sample save disabled, workflow switch retains preview, no page overflow, raw shots unchanged. Reuses previously implemented P35 full importer and guided workflow; no duplicate rewrite.</t>
  </si>
  <si>
    <t>Screen reader/zoom/themes/physical Files picker and safe-area matrix outstanding. This route-specific run uses preview-only sample; full save/retry/uncertain-club proof remains covered only by earlier importer fixtures, not a new exhaustive direct-runtime matrix. Practice-plan return context and error combinations require further acceptance.</t>
  </si>
  <si>
    <t>Each action opens the intended companion runtime flow with return context preserved.</t>
  </si>
  <si>
    <t>src/app/(app)/companion-runtime/import/page.tsx; src/app/(app)/import/import-companion-page.tsx</t>
  </si>
  <si>
    <t>P39-C02</t>
  </si>
  <si>
    <t>Recent imports</t>
  </si>
  <si>
    <t>Reopen uses a valid saved result/session ID.</t>
  </si>
  <si>
    <t>P40-C01</t>
  </si>
  <si>
    <t>/companion-runtime/import/csv</t>
  </si>
  <si>
    <t>Choose range CSV and file state</t>
  </si>
  <si>
    <t>Supported files parse through the existing importer; a retry retains valid selections.</t>
  </si>
  <si>
    <t>src/app/(app)/companion-runtime/import/csv/page.tsx; src/app/import/companion-range-import.tsx</t>
  </si>
  <si>
    <t>P40-C02</t>
  </si>
  <si>
    <t>Confirm uncertain clubs and parsed measurements</t>
  </si>
  <si>
    <t>Uncertain clubs cannot be silently defaulted to Driver.</t>
  </si>
  <si>
    <t>P40-C03</t>
  </si>
  <si>
    <t>Review and save import</t>
  </si>
  <si>
    <t>Save creates the correct session once and opens its actual result.</t>
  </si>
  <si>
    <t>P41-C01</t>
  </si>
  <si>
    <t>/companion-runtime/import/result</t>
  </si>
  <si>
    <t>Saved import outcome and session story</t>
  </si>
  <si>
    <t>companion-result-browser.log PASS25.9s: six direct companion-runtime widths, actual owned 3-shot result, source measurements, full evidence sheet, exclusion cancel, missing-ID history recovery; raw shots unchanged. TypeScript passed. Reuses canonical permission-bound review/club correction components.</t>
  </si>
  <si>
    <t>Acceptance still requires actual keep/exclude/relabel outcome/reconciliation, flagged-shot combinations, cross-user result denial, full accessibility/zoom/themes/keyboard-safe footer. This browser run cancels exclusion and does not claim a persisted review mutation.</t>
  </si>
  <si>
    <t>Missing identifiers recover to import history; no fake result is shown.</t>
  </si>
  <si>
    <t>src/app/(app)/companion-runtime/import/result/page.tsx</t>
  </si>
  <si>
    <t>P41-C02</t>
  </si>
  <si>
    <t>Imported evidence and review actions</t>
  </si>
  <si>
    <t>Results reconcile with the canonical /import/result and session record.</t>
  </si>
  <si>
    <t>src/app/(app)/companion-runtime/import/result/page.tsx; src/app/sessions/mobile-session-story.tsx</t>
  </si>
  <si>
    <t>P42-C01</t>
  </si>
  <si>
    <t>/companion-runtime/rapsodo</t>
  </si>
  <si>
    <t>Connect and sync state</t>
  </si>
  <si>
    <t>rapsodo-companion-fixture.log PASS19.7s, both surface styles x six widths. Failed connection retains credentials; course selection opens canonical full mobile scorecard review; correction survives close/reopen; mock save once with exact remote ID and practicePlanId. Types and scoped lint pass. Range preview state remains mounted and thrown save errors retain choices.</t>
  </si>
  <si>
    <t>Mocked provider only; actual runtime route connection/full provider errors, quick-range exclusion retention browser matrix, scored-hole save variants, accessibility/zoom/themes/physical keyboard remain outstanding. No live account import claimed. Canonical course flow removes previous desktop handoff; quick-range guarded catch follow-up typechecked but not separately browser-exercised.</t>
  </si>
  <si>
    <t>Secrets never appear in feedback, URLs or logs.</t>
  </si>
  <si>
    <t>src/app/(app)/companion-runtime/rapsodo/page.tsx; src/app/rapsodo/rapsodo-companion-client.tsx</t>
  </si>
  <si>
    <t>P42-C02</t>
  </si>
  <si>
    <t>Session inbox</t>
  </si>
  <si>
    <t>Sync and import retries preserve deduplication.</t>
  </si>
  <si>
    <t>P42-C03</t>
  </si>
  <si>
    <t>Preview and review shots</t>
  </si>
  <si>
    <t>All confirmed choices survive preview close/reopen and save to the intended session.</t>
  </si>
  <si>
    <t>src/app/(app)/companion-runtime/rapsodo/page.tsx; src/app/rapsodo/rapsodo-companion-preview.tsx; src/app/rapsodo/rapsodo-companion-client.tsx</t>
  </si>
  <si>
    <t>P43-C01</t>
  </si>
  <si>
    <t>/rounds</t>
  </si>
  <si>
    <t>Scoring story and round actions</t>
  </si>
  <si>
    <t>rounds-browser-ready.log PASS14.8s: both surfaces at six widths, first scoring point with real/simulator separation and matching hole count, desktop source/search URL persistence through reload, no horizontal overflow, owned shots unchanged. Existing canonical round review links and previous mobile redesign preserved. Types/scoped lint passed before small source-label/Import-action follow-up; final types recorded separately.</t>
  </si>
  <si>
    <t>Full canonical review navigation/Back selection and preview parity, mobile filter draft/reload keyboard interactions, long history, full AT/zoom/theme matrix outstanding. Small final source-label/Import-action follow-up typechecked, screenshot rerun pending. Existing rounds-workspace not used by current page; no fabricated preview rewrite.</t>
  </si>
  <si>
    <t>A first round is labelled a first point, not an improvement over an invented baseline.</t>
  </si>
  <si>
    <t>src/app/(app)/rounds/page.tsx; src/app/rounds/rounds-scoring-index.tsx; src/app/rounds/rounds-mobile-list.tsx</t>
  </si>
  <si>
    <t>P43-C02</t>
  </si>
  <si>
    <t>Scoring trend</t>
  </si>
  <si>
    <t>Real and simulator scopes remain explicit.</t>
  </si>
  <si>
    <t>src/app/(app)/rounds/page.tsx; src/app/rounds/rounds-scoring-index.tsx</t>
  </si>
  <si>
    <t>P43-C03</t>
  </si>
  <si>
    <t>Round history list and filters</t>
  </si>
  <si>
    <t>Back from a round restores list state and correct selection.</t>
  </si>
  <si>
    <t>P43-C04</t>
  </si>
  <si>
    <t>Selected-round preview, where used</t>
  </si>
  <si>
    <t>Preview and full review show the same saved score and status.</t>
  </si>
  <si>
    <t>src/app/(app)/rounds/page.tsx; src/app/rounds/rounds-workspace.tsx</t>
  </si>
  <si>
    <t>P44-C01</t>
  </si>
  <si>
    <t>/rounds/new</t>
  </si>
  <si>
    <t>Course, tee and round setup</t>
  </si>
  <si>
    <t>Existing full historical-round regression PASS52.5s (add-round-regression.log): desktop/mobile valid single saved rounds, hidden-hole validation, failed-save draft recovery, incompatible-tee confirmation/clear, actual tee facts and scoped axe. New setup matrix PASS4.6s (add-round-browser-fixture.log), both surfaces at six requested sizes: course search preserves selection, mobile course change requires explicit tee, start disabled until chosen, screenshots/no overflow. Existing scorecard workflow preserved.</t>
  </si>
  <si>
    <t>Final wrapped selected-course/tee text added after screenshot review; screenshot refresh pending. Full states/long histories/screen reader/zoom/physical keyboard and private-tee denial browser checks outstanding. Fixture setup failures were missing second course and required hole columns, fixed using isolated owned course; no production data changed.</t>
  </si>
  <si>
    <t>Changing course invalidates an incompatible tee selection explicitly.</t>
  </si>
  <si>
    <t>src/app/(app)/rounds/new/page.tsx; src/app/rounds/new/new-round-form.tsx; src/app/rounds/new/mobile-start-round.tsx</t>
  </si>
  <si>
    <t>P44-C02</t>
  </si>
  <si>
    <t>Hole-by-hole scorecard entry</t>
  </si>
  <si>
    <t>Totals update correctly and missing values are not silently converted to zero strokes.</t>
  </si>
  <si>
    <t>src/app/(app)/rounds/new/page.tsx; src/app/rounds/new/new-round-form.tsx</t>
  </si>
  <si>
    <t>P44-C03</t>
  </si>
  <si>
    <t>Review and save round</t>
  </si>
  <si>
    <t>One save creates one round and opens its actual review page.</t>
  </si>
  <si>
    <t>P45-C01</t>
  </si>
  <si>
    <t>/rounds/[sessionId]</t>
  </si>
  <si>
    <t>Round identity and result</t>
  </si>
  <si>
    <t>Round review existing full UI preserved plus mobile course-link corrections and aligned retained panels. round-review-browser-tabs.log PASS16.0s both surfaces x six sizes: course correction visibility, Evidence/Corrections/Scorecard navigation, mobile unsaved notes retained, original scorecard/CSV unchanged, no overflow. Existing map/live-round/summary regressions11testsPASS508ms. Other specialist/live/share operations not rerun by this matrix.</t>
  </si>
  <si>
    <t>Full acceptance remains: desktop unsaved form preservation across server tab navigation, live/offline conflict matrix, map/3D visual/render-failure states, persisted context correction, share-scope and named deletion execution/cancel/permission matrix, complete AT/zoom/themes. Existing narrow-workbench collapsed/hidden-trigger regression fixed; scoped tab spacing corrected after screenshot. No overall pass claimed.</t>
  </si>
  <si>
    <t>Score, course and status agree with history and the underlying session.</t>
  </si>
  <si>
    <t>src/app/(app)/rounds/[sessionId]/page.tsx</t>
  </si>
  <si>
    <t>P45-C02</t>
  </si>
  <si>
    <t>Summary, Scorecard, Map, Evidence and Corrections</t>
  </si>
  <si>
    <t>No correction or evidence task disappears in the mobile version.</t>
  </si>
  <si>
    <t>src/app/(app)/rounds/[sessionId]/page.tsx; src/app/rounds/[sessionId]/round-review-tabs.tsx; src/app/rounds/[sessionId]/lazy-round-review-tabs.tsx</t>
  </si>
  <si>
    <t>P45-C03</t>
  </si>
  <si>
    <t>Scorecard and scoring breakdown</t>
  </si>
  <si>
    <t>Front/back/total scores reconcile and unsupported fields remain unavailable.</t>
  </si>
  <si>
    <t>P45-C04</t>
  </si>
  <si>
    <t>Live hole entry and offline editing</t>
  </si>
  <si>
    <t>Reconnect resolves queued edits through existing conflict handling without silent loss.</t>
  </si>
  <si>
    <t>src/app/(app)/rounds/[sessionId]/page.tsx; src/app/rounds/mobile-live-round.tsx; src/components/offline-round-edit-form.tsx; src/app/rounds/[sessionId]/lazy-offline-round-edit-form.tsx</t>
  </si>
  <si>
    <t>P45-C05</t>
  </si>
  <si>
    <t>Course and hole map</t>
  </si>
  <si>
    <t>Estimated paths never acquire measured-shot labels after migration.</t>
  </si>
  <si>
    <t>src/app/(app)/rounds/[sessionId]/page.tsx; src/app/rounds/[sessionId]/lazy-round-shot-map.tsx; src/app/rounds/mobile-round-shot-map.tsx</t>
  </si>
  <si>
    <t>P45-C06</t>
  </si>
  <si>
    <t>Course, tee and handicap context corrections</t>
  </si>
  <si>
    <t>Correcting context recalculates only the intended round and downstream estimates.</t>
  </si>
  <si>
    <t>src/app/(app)/rounds/[sessionId]/page.tsx; src/app/rounds/[sessionId]/lazy-round-edit-select.tsx</t>
  </si>
  <si>
    <t>P45-C07</t>
  </si>
  <si>
    <t>Evidence and correction history</t>
  </si>
  <si>
    <t>Raw source information remains inspectable after corrections.</t>
  </si>
  <si>
    <t>src/app/(app)/rounds/[sessionId]/page.tsx; src/app/rounds/[sessionId]/round-corrections-panel.tsx</t>
  </si>
  <si>
    <t>P45-C08</t>
  </si>
  <si>
    <t>Learning summary and handicap effect</t>
  </si>
  <si>
    <t>Unofficial estimates and data-limited conclusions stay labelled.</t>
  </si>
  <si>
    <t>src/app/(app)/rounds/[sessionId]/page.tsx; src/app/rounds/mobile-round-handicap-effect.tsx</t>
  </si>
  <si>
    <t>P45-C09</t>
  </si>
  <si>
    <t>Round sharing and shot deletion controls</t>
  </si>
  <si>
    <t>Sharing reveals only allowed data; cancelling deletion changes nothing.</t>
  </si>
  <si>
    <t>P46-C01</t>
  </si>
  <si>
    <t>/courses</t>
  </si>
  <si>
    <t>Course search and filters</t>
  </si>
  <si>
    <t>Course library URL search/location/multi-filter/view state; staged drawer Apply/Reset; full identity and canonical links. course-library-browser.log PASS 1.0m at 1440x900,1280x800,1024x800 on both surfaces.</t>
  </si>
  <si>
    <t>Same complete controls at 390x844,360x800,1023x800; draft reset/apply/no-match recovery, reload search and canonical IDs checked. P46 screenshots in output/playwright/ui-upgrade/course-library-browser; 390 inspected.</t>
  </si>
  <si>
    <t>Full favourite mutation/error/permission, loading/network failure, keyboard/AT/zoom/theme matrices outstanding. Existing fixed companion navigation overlap visible in full-page capture; shared acceptance remains open. Paid filter/table examples unavailable; existing accessible local controls retained.</t>
  </si>
  <si>
    <t>Search preserves the canonical course IDs and does not duplicate names into new records.</t>
  </si>
  <si>
    <t>src/app/(app)/courses/page.tsx; src/app/courses/course-library.tsx</t>
  </si>
  <si>
    <t>P46-C02</t>
  </si>
  <si>
    <t>Course results and previews</t>
  </si>
  <si>
    <t>Course identity and readiness are consistent between list and detail.</t>
  </si>
  <si>
    <t>P46-C03</t>
  </si>
  <si>
    <t>Loading, no matches and new course action</t>
  </si>
  <si>
    <t>Clear filters and Add/import course lead to the appropriate flow.</t>
  </si>
  <si>
    <t>src/app/(app)/courses/page.tsx; src/components/app/app-empty-state.tsx</t>
  </si>
  <si>
    <t>P47-C01</t>
  </si>
  <si>
    <t>/courses/new</t>
  </si>
  <si>
    <t>Google course search and import</t>
  </si>
  <si>
    <t>Retained source tabs, draft-safe form wrapper preserving framework redirect, Google HTTP error/retry and exact selected place, OSM stale lookup protection/cancel/retry/unknown geometry warning. add-course-browser-ready.log PASS11.3s both surfaces x6sizes.</t>
  </si>
  <si>
    <t>Complete /courses/new companion capability. Required validation focus, source-tab draft retention, canonical Google/OSM IDs, zero provider writes and no overflow tested at390x844,360x800,1023x800 plus desktop sizes. 360 screenshot inspected; shortened header after review (typecheck only). Follow-up P49 browser verifies actual manual creation -&gt; exact saved course editor and tee; course-editor-browser-tabs.log PASS21.9s.</t>
  </si>
  <si>
    <t>Actual browser save rejection/retry remains outstanding. Exact new-course/tee navigation and complete mobile hole editor now verified by P49 matrix. Full provider-write, permission, geometry race, AT/zoom/theme checks remain. Fixed companion bar visibly overlays Country/tee area in full-page capture. Numeric server validation follow-up owned by backend agent; no full acceptance.</t>
  </si>
  <si>
    <t>Import uses the selected canonical place and does not silently choose a similarly named course.</t>
  </si>
  <si>
    <t>src/app/(app)/courses/new/page.tsx; src/app/courses/google-course-importer.tsx</t>
  </si>
  <si>
    <t>P47-C02</t>
  </si>
  <si>
    <t>Manual course and first tee setup</t>
  </si>
  <si>
    <t>Required values and units are validated before creating the course.</t>
  </si>
  <si>
    <t>src/app/(app)/courses/new/page.tsx</t>
  </si>
  <si>
    <t>P47-C03</t>
  </si>
  <si>
    <t>OpenStreetMap geometry import</t>
  </si>
  <si>
    <t>Incomplete imported geometry remains labelled and correctable.</t>
  </si>
  <si>
    <t>src/app/(app)/courses/new/page.tsx; src/app/courses/osm-course-importer.tsx</t>
  </si>
  <si>
    <t>P47-C04</t>
  </si>
  <si>
    <t>Setup guidance and next mapping action</t>
  </si>
  <si>
    <t>Successful creation links to the exact created course and tee, not a generic course list.</t>
  </si>
  <si>
    <t>src/app/(app)/courses/new/page.tsx; src/components/premium.tsx</t>
  </si>
  <si>
    <t>P48-C01</t>
  </si>
  <si>
    <t>/courses/[courseId]</t>
  </si>
  <si>
    <t>Course identity, tabs and favourite action</t>
  </si>
  <si>
    <t>Compact identity, exact readiness action, tee/source facts, semantic newest-first round table with existing roundHistoryScore, actual favourite pending/error recovery, existing twin/preview preserved. course-detail-browser.log PASS23.3s both surfaces x6sizes, actual isolated favourite save/remove and raw round unchanged.</t>
  </si>
  <si>
    <t>Complete exact course-detail companion route, full round disclosure/source/status/score and no-match twin fallback; six-size matrix including390x844,360x800,1023/1024px. P48 screenshots under output/playwright/ui-upgrade/course-detail-browser.</t>
  </si>
  <si>
    <t>Positive Course Twin launch/render/data-quality and map failure paths unverified; full favourite rejection/permission, AT/zoom/theme matrices outstanding. Course setup and records destinations still require remaining page migration. Fixed companion bar overlap remains shared defect. No full acceptance claim.</t>
  </si>
  <si>
    <t>Favourite changes target the correct course and show pending/error state.</t>
  </si>
  <si>
    <t>src/app/(app)/courses/[courseId]/page.tsx; src/app/courses/course-favourite-button.tsx</t>
  </si>
  <si>
    <t>P48-C02</t>
  </si>
  <si>
    <t>Course overview, facts and map preview</t>
  </si>
  <si>
    <t>Unknown geometry is not drawn as a complete mapped course.</t>
  </si>
  <si>
    <t>src/app/(app)/courses/[courseId]/page.tsx; src/app/courses/course-library.tsx</t>
  </si>
  <si>
    <t>P48-C03</t>
  </si>
  <si>
    <t>The action matches actual readiness and existing permissions.</t>
  </si>
  <si>
    <t>src/app/(app)/courses/[courseId]/page.tsx</t>
  </si>
  <si>
    <t>P48-C04</t>
  </si>
  <si>
    <t>Recent rounds and course history</t>
  </si>
  <si>
    <t>No rounds from another course are mixed into the history.</t>
  </si>
  <si>
    <t>P48-C05</t>
  </si>
  <si>
    <t>Course Twin readiness and launch</t>
  </si>
  <si>
    <t>The launch opens the selected course's twin and retains its data-quality label.</t>
  </si>
  <si>
    <t>P49-C01</t>
  </si>
  <si>
    <t>/courses/[courseId]/holes</t>
  </si>
  <si>
    <t>Course editor identity and sections</t>
  </si>
  <si>
    <t>Retained controlled tabs; active tee query and per-tee counts; map per-hole drafts/reset, direct coordinate forms, tee sheet bounds/cancel and readonly geometry. course-editor-browser-tabs.log PASS21.9s owner and foreign-reference accounts, both surfaces x6sizes. Actual single-hole save preserves other hole/tee; manual creation opens exact course and tee.</t>
  </si>
  <si>
    <t>All five editor sections available at390x844,360x800,1023/1024px; complete controls/draft retention and readonly gates checked. 390 screenshot inspected; table scroll scoped and hole disclosure fields reachable. Source-warning UI implemented; browser warning failure fixture outstanding.</t>
  </si>
  <si>
    <t>Full map pointer/drag/tile-error/AT, save rejection/retry, source-enrichment warning and physical-keyboard/theme/zoom matrix outstanding. Fixed companion bars overlap geometry table/tee-latitude region in full-page capture; focus visibility remains shared defect. Tee-switch draft warning shown; automatic preservation across tee GET navigation not claimed.</t>
  </si>
  <si>
    <t>Non-editors remain read-only on every panel.</t>
  </si>
  <si>
    <t>src/app/(app)/courses/[courseId]/holes/page.tsx; src/components/ui/tabs.tsx; src/components/premium.tsx</t>
  </si>
  <si>
    <t>P49-C02</t>
  </si>
  <si>
    <t>Visual tee/green point editor</t>
  </si>
  <si>
    <t>Selecting/dragging the map cannot accidentally save another hole's geometry.</t>
  </si>
  <si>
    <t>src/app/(app)/courses/[courseId]/holes/page.tsx; src/app/courses/[courseId]/holes/course-hole-map-editor.tsx</t>
  </si>
  <si>
    <t>P49-C03</t>
  </si>
  <si>
    <t>Tee-set editor</t>
  </si>
  <si>
    <t>Changing tee context preserves the correct hole mappings and calculation metadata.</t>
  </si>
  <si>
    <t>src/app/(app)/courses/[courseId]/holes/page.tsx; src/app/courses/[courseId]/holes/course-tee-editor-sheet.tsx</t>
  </si>
  <si>
    <t>P49-C04</t>
  </si>
  <si>
    <t>Hole geometry form and register</t>
  </si>
  <si>
    <t>Saved coordinate order and units remain compatible with existing maps.</t>
  </si>
  <si>
    <t>src/app/(app)/courses/[courseId]/holes/page.tsx</t>
  </si>
  <si>
    <t>P49-C05</t>
  </si>
  <si>
    <t>Imported course context and geometry status</t>
  </si>
  <si>
    <t>An incomplete import cannot appear fully mapped merely because the request succeeded.</t>
  </si>
  <si>
    <t>src/app/(app)/courses/[courseId]/holes/page.tsx; src/app/courses/[courseId]/holes/google-course-context-panel.tsx</t>
  </si>
  <si>
    <t>P49-C06</t>
  </si>
  <si>
    <t>Read-only geometry preview</t>
  </si>
  <si>
    <t>No edit affordance is enabled for read-only accounts.</t>
  </si>
  <si>
    <t>P49-C07</t>
  </si>
  <si>
    <t>Records and linked rounds</t>
  </si>
  <si>
    <t>Each destination retains course identity and existing access rules.</t>
  </si>
  <si>
    <t>P50-C01</t>
  </si>
  <si>
    <t>/courses/[courseId]/shot-pattern</t>
  </si>
  <si>
    <t>Hole and club setup</t>
  </si>
  <si>
    <t>Map/coordinates/math preserved; setup Apply/Reset/cancel snapshot, search, current-request-only projection, explicit retry/unknown target, measured sample/assumption labels, full evidence. shot-pattern-browser-clearance.log PASS34.0s both surfaces x6sizes;13projection/target/signaturetestsPASS203ms.</t>
  </si>
  <si>
    <t>Full companion route; map no longer clips summary/data fallback, setup reachable under narrow workbench, complete hole/club disclosure rows. Actual fixed-nav interception reproduced then page bottom clearance fixed; final click matrix passes.390 screenshot inspected. Synthetic raw shot evidence unchanged.</t>
  </si>
  <si>
    <t>Full API failure/retry/delayed-response and map tile/render-failure matrices, touch/drag/AT/zoom/themes outstanding. Other shared sticky-header/bar overlays remain visible in full-page capture; this evidence-control interception fixed only. Positive sufficient-shot fixture and exhaustive advanced-setting acceptance remain open.</t>
  </si>
  <si>
    <t>Changing hole or club updates the same underlying projection scope.</t>
  </si>
  <si>
    <t>src/app/(app)/courses/[courseId]/shot-pattern/page.tsx</t>
  </si>
  <si>
    <t>P50-C02</t>
  </si>
  <si>
    <t>Measured dispersion over the hole</t>
  </si>
  <si>
    <t>Projection does not claim an actual tracked shot or guaranteed landing.</t>
  </si>
  <si>
    <t>src/app/(app)/courses/[courseId]/shot-pattern/page.tsx; src/components/maps/shot-pattern-map.tsx</t>
  </si>
  <si>
    <t>P50-C03</t>
  </si>
  <si>
    <t>Hole and club evidence tables</t>
  </si>
  <si>
    <t>Missing geometry or insufficient shots produce a repair state instead of a fabricated pattern.</t>
  </si>
  <si>
    <t>P50-C04</t>
  </si>
  <si>
    <t>Missing geometry and loading states</t>
  </si>
  <si>
    <t>No endless spinner or blank map is accepted as complete.</t>
  </si>
  <si>
    <t>P51-C01</t>
  </si>
  <si>
    <t>/courses/strategy</t>
  </si>
  <si>
    <t>Pre/post-round mode and setup</t>
  </si>
  <si>
    <t>Course Strategy pre/post context, searchable setup Apply/Reset, measured evidence and saved reflections. course-strategy-browser-scorecard.log PASS18.4s: both surfaces at1440x900,1280x800,390x844,360x800,1023x800,1024x800; real isolated reflection saves and unchanged measured shots/raw scorecard. 11 postround/roundlearning tests PASS184ms. Screenshot390 inspected.</t>
  </si>
  <si>
    <t>Full trusted-bag hole navigation, save failure/permission recovery, physical keyboard, screen reader, zoom/theme and shared fixed-bar overlap acceptance outstanding. UI implementation is not full acceptance.</t>
  </si>
  <si>
    <t>Mode changes preserve compatible context and do not mutate completed rounds.</t>
  </si>
  <si>
    <t>src/app/(app)/courses/strategy/page.tsx; src/app/play/play-selection-controls.tsx; src/app/play/play-setup-drawer.tsx</t>
  </si>
  <si>
    <t>P51-C02</t>
  </si>
  <si>
    <t>Hole strategy and club choice</t>
  </si>
  <si>
    <t>Recommendations use trusted bag values and actual geometry; assumptions are visible.</t>
  </si>
  <si>
    <t>src/app/(app)/courses/strategy/page.tsx; src/app/courses/strategy/digital-caddie-book.tsx; src/app/courses/strategy/hole-strategy-visual.tsx</t>
  </si>
  <si>
    <t>P51-C03</t>
  </si>
  <si>
    <t>Conditions and readiness brief</t>
  </si>
  <si>
    <t>Unknown weather/conditions are not shown as recorded facts.</t>
  </si>
  <si>
    <t>src/app/(app)/courses/strategy/page.tsx</t>
  </si>
  <si>
    <t>P51-C04</t>
  </si>
  <si>
    <t>Post-round reflection form</t>
  </si>
  <si>
    <t>A subjective reflection never overwrites measured shot evidence.</t>
  </si>
  <si>
    <t>P51-C05</t>
  </si>
  <si>
    <t>Post-round results and next decision</t>
  </si>
  <si>
    <t>Results remain scoped to the selected completed round.</t>
  </si>
  <si>
    <t>P52-C01</t>
  </si>
  <si>
    <t>/course-twins</t>
  </si>
  <si>
    <t>Course catalogue and quality labels</t>
  </si>
  <si>
    <t>Complete shared catalogue on both surfaces: real supplied previews, readable full quality warnings, all present grades, exact runtime and mapped-hole fallback links. course-twins-browser.log PASS3.5s isolated fixture both surfaces x6required sizes, image404 fallback, long text, grade/search/reset and no horizontal overflow.390 screenshot inspected; tsc/scoped lint pass.</t>
  </si>
  <si>
    <t>Actual authenticated shell and positive 3D runtime, permission/service-error retry and loading boundary browser checks, physical keyboard/AT/zoom/theme remain outstanding. Fixture uses synthetic preview and lacks production font loading. Paid templates unavailable; local accessible cards/disclosures use existing adapters. No full acceptance claim.</t>
  </si>
  <si>
    <t>Grade B and other quality descriptions preserve existing meaning.</t>
  </si>
  <si>
    <t>src/app/(app)/course-twins/page.tsx; src/app/course-twins/course-twin-catalogue.tsx</t>
  </si>
  <si>
    <t>P52-C02</t>
  </si>
  <si>
    <t>Twin launch and unsupported state</t>
  </si>
  <si>
    <t>No inaccessible blank canvas or false ready state.</t>
  </si>
  <si>
    <t>P53-C01</t>
  </si>
  <si>
    <t>/play</t>
  </si>
  <si>
    <t>Course and tee selection</t>
  </si>
  <si>
    <t>Complete requested surface rendering; staged searchable course/tee setup retains failed drafts; selected-tee mapped readiness; mobile opening/long-hole/trusted-club disclosures; active round prioritised. play-browser-label.log PASS37.9s both surfaces x6sizes, actual isolated context save, exact strategy/start links, active-round priority/no duplicate creation and unchanged measured shots.390 screenshot inspected. Types/scoped lint pass before accessible-label correction.</t>
  </si>
  <si>
    <t>Positive qualified-bag/readiness transition, actual preview/twin target tee semantics, save-rejection UI, physical keyboard/AT/zoom/theme and shared fixed-navigation overlap remain outstanding. No full acceptance. Older Play redesign preserved.</t>
  </si>
  <si>
    <t>Selected course/tee carries through to strategy, twin and round creation.</t>
  </si>
  <si>
    <t>src/app/(app)/play/page.tsx; src/app/play/play-selection-controls.tsx; src/app/play/lazy-play-setup-drawer.tsx</t>
  </si>
  <si>
    <t>P53-C02</t>
  </si>
  <si>
    <t>Selected-course brief and preview</t>
  </si>
  <si>
    <t>Unknown or unmapped course data stays clearly labelled.</t>
  </si>
  <si>
    <t>src/app/(app)/play/page.tsx; src/app/play/mobile-course-preview.tsx</t>
  </si>
  <si>
    <t>P53-C03</t>
  </si>
  <si>
    <t>Readiness checklist</t>
  </si>
  <si>
    <t>Readiness state reflects actual prerequisites.</t>
  </si>
  <si>
    <t>src/app/(app)/play/page.tsx</t>
  </si>
  <si>
    <t>P53-C04</t>
  </si>
  <si>
    <t>Opening plan, long holes and trusted clubs</t>
  </si>
  <si>
    <t>Recommendations use the selected course and trusted measurements.</t>
  </si>
  <si>
    <t>P53-C05</t>
  </si>
  <si>
    <t>Current round and resume action</t>
  </si>
  <si>
    <t>Opening Play does not replace or duplicate an active round.</t>
  </si>
  <si>
    <t>P54-C01</t>
  </si>
  <si>
    <t>/play/[courseId]</t>
  </si>
  <si>
    <t>3D canvas and accessible fallback</t>
  </si>
  <si>
    <t>Existing renderer/coordinate math preserved. Desktop2D selected-hole/search/replay evidence; staged hole/camera Apply/Reset and visible controls labels; full course name; chat draft retention/duplicate-send guard/reconnect feedback. twin-runtime-browser-wrapped.log PASS4.4s isolated fixture both surfaces x6sizes; actual 2D implementations, mocked chat503retry,15map/plan/performance regressions PASS95ms. Screenshot390 retained draft inspected; types/lint pass before final wrapping/contrast followup.</t>
  </si>
  <si>
    <t>3D scene intentionally stubbed in browser fixture: actual renderer lifecycle, paused/context-loss/reduced-motion transition, virtual save, positive measured replay, voice permission/signalling and scene sheet focus/overlay integration remain unverified. Generic filter spec adapted to view settings and visible-layer legend; no new underlying layer data mutation. Fixture fonts/shell differ. Zero full acceptance claim.</t>
  </si>
  <si>
    <t>WebGL failure, reduced motion and paused rendering still expose an accessible hole plan.</t>
  </si>
  <si>
    <t>src/app/(app)/play/[courseId]/page.tsx; src/app/play/[courseId]/course-twin-runtime.tsx; src/app/play/[courseId]/course-twin-scene.tsx</t>
  </si>
  <si>
    <t>P54-C02</t>
  </si>
  <si>
    <t>Course, hole, camera and layer controls</t>
  </si>
  <si>
    <t>Controls preserve runtime state and never alter the underlying course data unintentionally.</t>
  </si>
  <si>
    <t>src/app/(app)/play/[courseId]/page.tsx; src/app/play/[courseId]/course-twin-scene.tsx; src/app/play/[courseId]/course-twin-runtime.tsx</t>
  </si>
  <si>
    <t>P54-C03</t>
  </si>
  <si>
    <t>Hole plan and measured-shot evidence</t>
  </si>
  <si>
    <t>Estimated strategy, real replay and virtual play remain clearly distinguished.</t>
  </si>
  <si>
    <t>src/app/(app)/play/[courseId]/page.tsx; src/app/play/[courseId]/course-twin-mobile-plan.tsx; src/app/play/[courseId]/course-twin-mobile-overhead.tsx</t>
  </si>
  <si>
    <t>P54-C04</t>
  </si>
  <si>
    <t>Runtime status and communication feedback</t>
  </si>
  <si>
    <t>A failed operation cannot appear as a saved virtual-round state.</t>
  </si>
  <si>
    <t>src/app/(app)/play/[courseId]/page.tsx; src/app/play/[courseId]/course-twin-comms.tsx</t>
  </si>
  <si>
    <t>P55-C01</t>
  </si>
  <si>
    <t>/course-records</t>
  </si>
  <si>
    <t>Record-board title and proof context</t>
  </si>
  <si>
    <t>Full responsive searchable/sortable record browser with exact category/period/proof/details and submissions count; real mobile hub route. course-records-browser.log PASS15s both surfaces x6sizes, real isolated course, no-verified-leader/filter reset/details/exactboardhref/nooverflow.390 screenshot inspected; types/lint pass. Backend11targeted tests and period-bound regression pass; verified leader excludes inactive/unverified results. P57 regression correction: generated result status verified now accepted alongside active while verificationStatus remains verified; targeted database regression passed.</t>
  </si>
  <si>
    <t>Positive verified-leader browser fixture, actual downstream board/submission navigation (P56/P57 still outstanding), server error recovery, 80course source limit beyond loaded scope, physical keyboard/AT/zoom/theme and shared sticky-nav overlap remain open. No full acceptance.</t>
  </si>
  <si>
    <t>Users can tell which course, category and period a record covers.</t>
  </si>
  <si>
    <t>src/app/(app)/course-records/page.tsx; src/components/features/feature-panels.tsx</t>
  </si>
  <si>
    <t>P55-C02</t>
  </si>
  <si>
    <t>Course record board</t>
  </si>
  <si>
    <t>Scores and proof labels use canonical verified record data.</t>
  </si>
  <si>
    <t>src/app/(app)/course-records/page.tsx</t>
  </si>
  <si>
    <t>P55-C03</t>
  </si>
  <si>
    <t>Proof requirements and next action</t>
  </si>
  <si>
    <t>Requirements are accurate to current app rules and not invented by the redesign.</t>
  </si>
  <si>
    <t>src/app/(app)/course-records/page.tsx; src/components/product-polish.tsx</t>
  </si>
  <si>
    <t>P56-C01</t>
  </si>
  <si>
    <t>/courses/[courseId]/records</t>
  </si>
  <si>
    <t>Course-specific record table</t>
  </si>
  <si>
    <t>Full responsive course category table/details, controlled URL scope tabs, exact eligible submission links. course-record-scopes-browser.log PASS33.3s both surfaces x6sizes, reload/BackForward, category search/reset/sort, every selected targetcheckedagainstfixturecourse ID. Types/scoped lint pass;390 capture inspected. Backend12targeted tests verify active verified leader only and retain pending attempts separately. P57 regression correction: generated result status verified now accepted alongside active while verificationStatus remains verified; targeted database regression passed.</t>
  </si>
  <si>
    <t>Positive verified leader/previous-round suggestion UI, actual submission destination P57, server error/permission UI, physical keyboard/AT/zoom/theme and shared fixed-navigation overlap remain unverified. No full acceptance.</t>
  </si>
  <si>
    <t>Records are restricted to the selected course.</t>
  </si>
  <si>
    <t>src/app/(app)/courses/[courseId]/records/page.tsx</t>
  </si>
  <si>
    <t>P56-C02</t>
  </si>
  <si>
    <t>Record scopes and period navigation</t>
  </si>
  <si>
    <t>Back/Forward and shared links reproduce the selected board.</t>
  </si>
  <si>
    <t>P56-C03</t>
  </si>
  <si>
    <t>Category summary and submit actions</t>
  </si>
  <si>
    <t>Submit opens the correct category ID with eligibility intact.</t>
  </si>
  <si>
    <t>src/app/(app)/courses/[courseId]/records/page.tsx; src/components/premium.tsx</t>
  </si>
  <si>
    <t>P57-C01</t>
  </si>
  <si>
    <t>/course-records/[recordId]</t>
  </si>
  <si>
    <t>Record identity, champion and personal best</t>
  </si>
  <si>
    <t>Full responsive record identity, ranked/proof context, locked selected-round score, full proof preview/retry/remove, review-before-submit and owned numeric receipt. Isolated proof/draft matrix PASS17.8s; actual record-detail-browser-final.log PASS26.0s both surfaces x6 sizes: 12 distinct requestIds and saved receipts, explicit pre-existing auto-synced attempt, unchanged source round. Types/lint pass; mobile screenshot inspected. Backend31files110tests pass including retry rollback, private-course denial and generated verified status regression.</t>
  </si>
  <si>
    <t>Full signed real OCR/positive proof verification, tournament uploader consumer browser regression, all eligible-round filtering (currently calculable rounds, server checks), historical &gt;20 attempt receipts, AT/zoom/theme/keyboard and shared fixed navigation overlap remain outstanding. Existing rule auto-ranks manual-only scorecards as Bronze; UI explicitly distinguishes this from image verification. No full acceptance.</t>
  </si>
  <si>
    <t>Gross/net/other categories and proof status are never conflated.</t>
  </si>
  <si>
    <t>src/app/(app)/course-records/[recordId]/page.tsx; src/components/premium.tsx; src/components/ui/card.tsx</t>
  </si>
  <si>
    <t>P57-C02</t>
  </si>
  <si>
    <t>Select saved round and submit attempt</t>
  </si>
  <si>
    <t>The submitted result derives from the chosen eligible saved round and targets the correct category.</t>
  </si>
  <si>
    <t>src/app/(app)/course-records/[recordId]/page.tsx; src/components/ui/select.tsx; src/app/course-records/[recordId]/record-submit-button.tsx</t>
  </si>
  <si>
    <t>P57-C03</t>
  </si>
  <si>
    <t>Scorecard proof review</t>
  </si>
  <si>
    <t>Proof links to the intended attempt and is not labelled verified before verification.</t>
  </si>
  <si>
    <t>src/app/(app)/course-records/[recordId]/page.tsx; src/components/scorecard-proof-uploader.tsx</t>
  </si>
  <si>
    <t>P57-C04</t>
  </si>
  <si>
    <t>Verified board and attempt history</t>
  </si>
  <si>
    <t>Pending attempts do not appear as verified champions.</t>
  </si>
  <si>
    <t>src/app/(app)/course-records/[recordId]/page.tsx</t>
  </si>
  <si>
    <t>P57-C05</t>
  </si>
  <si>
    <t>Submitted, failed and ineligible feedback</t>
  </si>
  <si>
    <t>Repeated clicks do not create unintended duplicate attempts.</t>
  </si>
  <si>
    <t>P58-C01</t>
  </si>
  <si>
    <t>/challenges</t>
  </si>
  <si>
    <t>Active, available and completed views</t>
  </si>
  <si>
    <t>Full shared Challenges UI: controlled URL state/counts/search, complete qualifying result/target/window/proof rows, chronological completed view, rules with focus return and full creation/review/draft recovery. challenges-browser-final.log PASS59.7s both surfaces x6sizes;12 actual public creations preserve exact dates/scoring/visibility and create zero invites. Mobile/desktop captures inspected. Types/lint pass. Backend9 tests pass dates/closed joins/imported evidence excludes modelled/future/excluded shots. Next development-only indicator pointer interception disabled in test; application errors still asserted absent.</t>
  </si>
  <si>
    <t>Full positive ranked-result browser, search/reset/BackForward edge cases, paid private/friend creation and invitation fixture, save-error retry idempotence, immutable closed ranking snapshot, error/loading boundary and AT/zoom/theme/native keyboard/shared navigation acceptance remain open. No full acceptance.</t>
  </si>
  <si>
    <t>A completed challenge cannot remain presented as currently active after status updates.</t>
  </si>
  <si>
    <t>src/app/(app)/challenges/page.tsx</t>
  </si>
  <si>
    <t>P58-C02</t>
  </si>
  <si>
    <t>Current challenge progress</t>
  </si>
  <si>
    <t>Completion/progress derives from qualifying imports, not simply participation.</t>
  </si>
  <si>
    <t>P58-C03</t>
  </si>
  <si>
    <t>Available challenge directory</t>
  </si>
  <si>
    <t>Ineligible or closed challenges have meaningful disabled explanations.</t>
  </si>
  <si>
    <t>P58-C04</t>
  </si>
  <si>
    <t>Completed challenge history</t>
  </si>
  <si>
    <t>Final results are not mixed with live provisional standings.</t>
  </si>
  <si>
    <t>P58-C05</t>
  </si>
  <si>
    <t>Create challenge form</t>
  </si>
  <si>
    <t>Privacy and scoring choices persist exactly and no invitations are sent merely by opening the form.</t>
  </si>
  <si>
    <t>P58-C06</t>
  </si>
  <si>
    <t>Challenge rules sheet</t>
  </si>
  <si>
    <t>Displayed rules match the challenge's actual calculation and eligibility.</t>
  </si>
  <si>
    <t>P59-C01</t>
  </si>
  <si>
    <t>/challenges/[challengeId]</t>
  </si>
  <si>
    <t>Challenge identity and section navigation</t>
  </si>
  <si>
    <t>Full detail shared on both surfaces: five retained URL sections, full ranked table/mobile proof details and personal row, source-session attempt access, scoped membership confirmation, searchable reviewed invitation, chronological comments with confirmed save/retained draft. challenge-detail-browser-role.log PASS2.2m all12 combinations:250yd qualifying source, draft survives sections, one saved comment, Cancel inert, exact single invitation, join/leave outcomes and source shots unchanged. Types/lint pass;390 screenshot inspected. Targeted action/permission/date/invitation tests pass. Earlier label locator failure snapshot retained draft; accessible textbox role verifies actual input.</t>
  </si>
  <si>
    <t>Individual rejected-attempt ledger unavailable in current DTO (explicitly labelled qualifying aggregate); immutable final ranking snapshot not stored. Tie/low-wins/browser positive multi-player sorting, all saved-view/export controls, blocked/revoked permission semantics, actual network failures and idempotent comment retry, unsupported moderation, AT/zoom/theme/keyboard/safe-area matrix remain outstanding. No full acceptance.</t>
  </si>
  <si>
    <t>No section is omitted from the companion experience.</t>
  </si>
  <si>
    <t>src/app/(app)/challenges/[challengeId]/page.tsx; src/components/premium.tsx</t>
  </si>
  <si>
    <t>P59-C02</t>
  </si>
  <si>
    <t>Podium and standings</t>
  </si>
  <si>
    <t>Low-wins/high-wins rules and ties match the existing scoring logic.</t>
  </si>
  <si>
    <t>src/app/(app)/challenges/[challengeId]/page.tsx</t>
  </si>
  <si>
    <t>P59-C03</t>
  </si>
  <si>
    <t>Your imported result and command board</t>
  </si>
  <si>
    <t>Imported result and leaderboard values reconcile.</t>
  </si>
  <si>
    <t>src/app/(app)/challenges/[challengeId]/page.tsx; src/components/ui/card.tsx</t>
  </si>
  <si>
    <t>P59-C04</t>
  </si>
  <si>
    <t>Join and leave challenge</t>
  </si>
  <si>
    <t>Cancelling is inert and submitted actions are scoped to this challenge.</t>
  </si>
  <si>
    <t>src/app/(app)/challenges/[challengeId]/page.tsx; src/app/challenges/challenge-join-dialog.tsx; src/app/challenges/challenge-leave-dialog.tsx</t>
  </si>
  <si>
    <t>P59-C05</t>
  </si>
  <si>
    <t>Invite friends</t>
  </si>
  <si>
    <t>Invitation controls preserve existing permissions and never grant account-data access.</t>
  </si>
  <si>
    <t>P59-C06</t>
  </si>
  <si>
    <t>Attempt and verification ledger</t>
  </si>
  <si>
    <t>Nonqualifying attempts are explained and not silently ranked.</t>
  </si>
  <si>
    <t>P59-C07</t>
  </si>
  <si>
    <t>Challenge chat and comments</t>
  </si>
  <si>
    <t>Sending is explicit; pending/failed comments do not appear permanently delivered without confirmation.</t>
  </si>
  <si>
    <t>src/app/(app)/challenges/[challengeId]/page.tsx; src/components/ui/input.tsx; src/components/ui/button.tsx</t>
  </si>
  <si>
    <t>P60-C01</t>
  </si>
  <si>
    <t>/tournaments</t>
  </si>
  <si>
    <t>Event status tabs and course scope</t>
  </si>
  <si>
    <t>Shared full-width tournament index: counted controlled URL statuses, course/search/order filters, desktop full table and full mobile event/proof context. tournaments-browser-alias.log PASS1.3m both surfaces x6sizes: alias retains exactcourseId, selectedcounts1/0, cancelled notactiveentry, upcoming reload, search empty/recovery/nameorder, mobilefullfields, component and document bounds. Types/lint pass;390 screenshot inspected. Fixed companion alias desktop gate and intrinsic selector overflow. Earlier strict test locators corrected without hiding app states.</t>
  </si>
  <si>
    <t>Large histories beyond latest80 source limit, entered/result positive fixture, unknowncourse and clear/backforward edge cases, all errors/loading/AT/zoom/theme/nativekeyboard/safearea remain outstanding. Backend tournament transaction/date/entry guard changes are present and tested but reserved for coordinated P61 commit. No full acceptance.</t>
  </si>
  <si>
    <t>The course-tournaments alias opens the correctly filtered event list.</t>
  </si>
  <si>
    <t>src/app/(app)/tournaments/page.tsx</t>
  </si>
  <si>
    <t>P60-C02</t>
  </si>
  <si>
    <t>Tournament directory</t>
  </si>
  <si>
    <t>Closed/completed events do not present active entry actions.</t>
  </si>
  <si>
    <t>P60-C03</t>
  </si>
  <si>
    <t>Event summaries and empty views</t>
  </si>
  <si>
    <t>Counts agree with the selected event filter.</t>
  </si>
  <si>
    <t>P61-C01</t>
  </si>
  <si>
    <t>/tournaments/[tournamentId]</t>
  </si>
  <si>
    <t>Event identity and primary action</t>
  </si>
  <si>
    <t>Full shared compact detail; URL sections/aliases, complete standings/history, completed-only progress, reviewable entry/submission/withdrawal. Actual matrix PASS2.2m all12; multiround reset PASS47.6s 1440/390 both surfaces. TypeScript/scoped lint pass. tournament-detail-browser-stack and tournament-detail-multiround under output/playwright/ui-upgrade.</t>
  </si>
  <si>
    <t>Same complete task; vertical progress, full standing cards, retained draft across sections, cancellation inert, exactly one pending manual save, withdrawal preserves history. Actual matrix includes390x844,360x800,1023x800,1024x800 both surfaces. Desktop1440/mobile390 screenshots inspected. API round-bound token test4PASS; uploader browser positive round binding outstanding.</t>
  </si>
  <si>
    <t>Full acceptance outstanding: signed OCR/round-bound uploader browser, saved-round positive proof/ties/full toolbar, completed/draft/closed permission/error/loading cases, focus return/AT/zoom/themes/shared fixed bars. First run loading/compilation timeout; next all12 actions passed but one Invalid token browser error; stack repeat passed, original error unreproduced not diagnosed. Saved matching list limited12. Submission retry service tests pass; post-transaction standings/feed failure recovery remains broader acceptance.</t>
  </si>
  <si>
    <t>Not entered, entered, submitted and completed states have distinct correct actions.</t>
  </si>
  <si>
    <t>src/app/(app)/tournaments/[tournamentId]/page.tsx</t>
  </si>
  <si>
    <t>P61-C02</t>
  </si>
  <si>
    <t>Round submission progress</t>
  </si>
  <si>
    <t>Zero submitted of one renders 0% completion; active-step styling is independent of percentage.</t>
  </si>
  <si>
    <t>src/app/(app)/tournaments/[tournamentId]/page.tsx; src/components/app/operation-stepper.tsx</t>
  </si>
  <si>
    <t>P61-C03</t>
  </si>
  <si>
    <t>Tournament entry form</t>
  </si>
  <si>
    <t>Entry only occurs on explicit submission and preserves current eligibility rules.</t>
  </si>
  <si>
    <t>src/app/(app)/tournaments/[tournamentId]/page.tsx; src/components/tournament-entry-modal.tsx</t>
  </si>
  <si>
    <t>P61-C04</t>
  </si>
  <si>
    <t>Rules and event conditions</t>
  </si>
  <si>
    <t>The /rules alias opens rules rather than just the event overview.</t>
  </si>
  <si>
    <t>P61-C05</t>
  </si>
  <si>
    <t>Submit tournament round</t>
  </si>
  <si>
    <t>The /submit and /rounds aliases open the intended submission state; no duplicate round submission.</t>
  </si>
  <si>
    <t>P61-C06</t>
  </si>
  <si>
    <t>Tournament scorecard proof</t>
  </si>
  <si>
    <t>Proof remains tied to the correct tournament round and is not prematurely marked verified.</t>
  </si>
  <si>
    <t>src/app/(app)/tournaments/[tournamentId]/page.tsx; src/components/scorecard-proof-uploader.tsx</t>
  </si>
  <si>
    <t>P61-C07</t>
  </si>
  <si>
    <t>Event standings</t>
  </si>
  <si>
    <t>The /leaderboard alias opens tab=board and rankings reflect actual completed submissions.</t>
  </si>
  <si>
    <t>src/app/(app)/tournaments/[tournamentId]/page.tsx; src/components/mobile-sports.tsx</t>
  </si>
  <si>
    <t>P61-C08</t>
  </si>
  <si>
    <t>Withdraw from tournament</t>
  </si>
  <si>
    <t>Cancellation does nothing and a failed withdrawal leaves the previous state visible.</t>
  </si>
  <si>
    <t>src/app/(app)/tournaments/[tournamentId]/page.tsx; src/app/tournaments/tournament-withdraw-dialog.tsx</t>
  </si>
  <si>
    <t>P62-C01</t>
  </si>
  <si>
    <t>/leaderboard</t>
  </si>
  <si>
    <t>Result, scope and period controls</t>
  </si>
  <si>
    <t>Full shared five-board UI; exact scope/period/source/evidence/sort/search URLs; original ranks retained through search; query guards exclude unverified/inactive/private outsider boards; distinct board leaders, no invented global rank. TypeScript/scoped lintpass. Actual12matrix PASS1.1m leaderboards-browser-final; initial sort wiring smoke4cases PASS25.7s leaderboards-sort-final.</t>
  </si>
  <si>
    <t>All five boards reachable, advanced filter drawer Apply/Reset, full player/challenge/course/tournament details in panel; original desktop table fields retained and no fabricated movement.390/360+1023/1024 both surfaces exercised, plus1440/1280. 390 screenshot inspected. Matrices under output/playwright/ui-upgrade.</t>
  </si>
  <si>
    <t>Full acceptance pending: positive multi-player/tie/provider/champion/partial-event browser fixtures; query guards not yet directly browser-tested with malicious scope fixtures; full saved views/column-density/export parity on mobile cards, large profile pagination (public first100candidates; course/tournament12boards), focus/AT/zoom/themes/loading/errors. Initial native hydration selection reverted; guarded fields. Earlier ready matrix overlapped concurrent service edit; stable final repeated successfully.</t>
  </si>
  <si>
    <t>Copied URLs reproduce the same authorised standings.</t>
  </si>
  <si>
    <t>src/app/(app)/leaderboard/page.tsx; src/app/leaderboard/leaderboard-controls.tsx</t>
  </si>
  <si>
    <t>P62-C02</t>
  </si>
  <si>
    <t>Player ranking board</t>
  </si>
  <si>
    <t>No artificial up/down movement is shown without historical ranking evidence.</t>
  </si>
  <si>
    <t>src/app/(app)/leaderboard/page.tsx; src/app/leaderboard/mobile-leaderboard.tsx</t>
  </si>
  <si>
    <t>P62-C03</t>
  </si>
  <si>
    <t>Challenge boards</t>
  </si>
  <si>
    <t>Different challenge units/scoring directions remain explicit.</t>
  </si>
  <si>
    <t>src/app/(app)/leaderboard/page.tsx</t>
  </si>
  <si>
    <t>P62-C04</t>
  </si>
  <si>
    <t>Course champion boards</t>
  </si>
  <si>
    <t>Unverified attempts do not become course champions in presentation.</t>
  </si>
  <si>
    <t>P62-C05</t>
  </si>
  <si>
    <t>Tournament leader boards</t>
  </si>
  <si>
    <t>Partial participation is not labelled a completed tournament result.</t>
  </si>
  <si>
    <t>P63-C01</t>
  </si>
  <si>
    <t>/achievements</t>
  </si>
  <si>
    <t>Level, XP and next unlock summary</t>
  </si>
  <si>
    <t>Shared full achievements workspace; adaptive exact XP/unlock metrics, full catalogue, native badge detail action with date/source, ledger and real date events, owner-only share field preview/download recovery. Isolated1200/1201unlock60000XP fixture all12 PASS52.9s achievements-fixture-final; actual route1440/390bothsurfaces PASS45.7s achievements-route. Types/lintpass; provenance8+shareendpoint3tests pass.</t>
  </si>
  <si>
    <t>Full ledger cards with all evidence, staged filter drawer, same full catalogue instead of first12only, readable native date picker plus day events, full share confirmation/cancel/failure/retry.390/360/1023/1024 exercised on both surfaces. Synthetic390 and actual1440 screenshots inspected. Breakpoint metric clipping found and fixed with auto-fit.</t>
  </si>
  <si>
    <t>Full acceptance pending: real positive unlock/source/XP-ledger reconciliation, repeatable awards, modelled-vs-measured achievement eligibility unchanged, real SVG long-text layout/download system completion, URLfocus/source/deleted/sharepermission regression, saved views/column-density mobile parity, AT/zoom/themes/nativekeyboard/syncfailure. Isolated uses mocked actions/share endpoint and fallback fonts; actualroute fixture empty user. Final Clear all includes completed and download-start/ledger copy refinements after browser runs; types/lintpass. Native date picker is complete date/list alternative; desktop calendar retained.</t>
  </si>
  <si>
    <t>Large counts such as four-digit numerators render without clipping at every required width.</t>
  </si>
  <si>
    <t>src/app/(app)/achievements/page.tsx; src/app/achievements/achievements-client.tsx</t>
  </si>
  <si>
    <t>P63-C02</t>
  </si>
  <si>
    <t>Trophy cabinet and latest achievements</t>
  </si>
  <si>
    <t>Artwork meaning is available as text and locked/unlocked states do not rely on colour alone.</t>
  </si>
  <si>
    <t>src/app/(app)/achievements/page.tsx; src/app/achievements/achievements-client.tsx; src/components/visuals/achievement-artwork.tsx</t>
  </si>
  <si>
    <t>P63-C03</t>
  </si>
  <si>
    <t>Achievement catalogue and filters</t>
  </si>
  <si>
    <t>Filtering does not change actual earned XP or unlock state.</t>
  </si>
  <si>
    <t>P63-C04</t>
  </si>
  <si>
    <t>Unlock evidence ledger</t>
  </si>
  <si>
    <t>XP totals reconcile with the actual ledger and no duplicate unlock is introduced.</t>
  </si>
  <si>
    <t>src/app/(app)/achievements/page.tsx; src/app/achievements/achievements-client.tsx; src/app/achievements/achievement-unlock-ledger.tsx</t>
  </si>
  <si>
    <t>P63-C05</t>
  </si>
  <si>
    <t>Unlock calendar</t>
  </si>
  <si>
    <t>Empty days do not imply failed activity or lost streaks unless such a rule exists.</t>
  </si>
  <si>
    <t>https://www.untitledui.com/react/components/calendars; https://www.untitledui.com/react/components/activity-feeds</t>
  </si>
  <si>
    <t>P63-C06</t>
  </si>
  <si>
    <t>Optional achievement sharing</t>
  </si>
  <si>
    <t>Private measurements are not added to the share output without the existing permitted scope.</t>
  </si>
  <si>
    <t>src/app/(app)/achievements/page.tsx</t>
  </si>
  <si>
    <t>P64-C01</t>
  </si>
  <si>
    <t>/friends</t>
  </si>
  <si>
    <t>Friends, requests and discovery navigation</t>
  </si>
  <si>
    <t>Full shared Friends workspace, counted URL tabs and searchable distinct relationship states. Named confirmation before mutations, pending/error feedback, invitation preview/copy. Actual friends-browser.log PASS4.6m:1440x900,1280x800,1024x800 on both surfaces; cancel inert, accept/remove/request/cancel/block/unblock exact fixture rows, clipboard readback; zero pageerrors. Types/lint pass.</t>
  </si>
  <si>
    <t>Same complete task at390x844,360x800,1023x800 both surfaces in same passing12view matrix. Selected scrollable tabs, full rows/action sheets, invitation copy verified. P64-workbench-390.png inspected under output/playwright/ui-upgrade/friends-browser.</t>
  </si>
  <si>
    <t>Full acceptance outstanding: decline/duplicate/stale request and server-error browser fixtures, privacy/permission adversarial states, long identities, clipboard-denied/QR failure, Back/Forward and focus restoration after refreshed row removal, AT/zoom/theme/native keyboard/safe-area matrix. Local accessible compositions replace unavailable paid examples; no paid export claimed.</t>
  </si>
  <si>
    <t>Pending requests and accepted friendships remain distinct.</t>
  </si>
  <si>
    <t>src/app/(app)/friends/page.tsx; src/app/friends/friends-tabs.tsx</t>
  </si>
  <si>
    <t>P64-C02</t>
  </si>
  <si>
    <t>People search and grouped directory</t>
  </si>
  <si>
    <t>Search never exposes fields outside the existing visibility model.</t>
  </si>
  <si>
    <t>src/app/(app)/friends/page.tsx; src/app/friends/people-directory.tsx</t>
  </si>
  <si>
    <t>P64-C03</t>
  </si>
  <si>
    <t>Friendship and relationship actions</t>
  </si>
  <si>
    <t>Each action targets the correct person and state changes only after server confirmation.</t>
  </si>
  <si>
    <t>src/app/(app)/friends/page.tsx</t>
  </si>
  <si>
    <t>P64-C04</t>
  </si>
  <si>
    <t>Invite a friend</t>
  </si>
  <si>
    <t>No invite is sent merely by opening or previewing the form.</t>
  </si>
  <si>
    <t>src/app/(app)/friends/page.tsx; src/app/friends/friend-invite-dialog.tsx</t>
  </si>
  <si>
    <t>P65-C01</t>
  </si>
  <si>
    <t>/groups</t>
  </si>
  <si>
    <t>My groups, discover and invitations</t>
  </si>
  <si>
    <t>Full counted URL directory panels; privacy beside wrapped names and complete facts; named invitation/join review; retained create fields, privacy summary and explicit save. groups-browser-final.log PASS2.2m all12:1440x900,1280x800,1024x800 both surfaces, Back/reload, accept exact invitation, Cancel inert, creation edited/reviewed, saved public visibility and only creator admin membership/no invitations. Types/lint pass. Backend11tests pass including transaction rollback/retry.</t>
  </si>
  <si>
    <t>Complete task390x844,360x800,1023x800 both surfaces in same12view PASS; scrollable selected tabs, full rows, focus-managed creation/decision sheets. P65-companion-390.png inspected in output/playwright/ui-upgrade/groups-browser-final. Zero pageerrors and page bounds pass.</t>
  </si>
  <si>
    <t>Full acceptance outstanding: browser decline/publicjoin/invite-code/expired invite/unauthorised private detail and error-retry fixtures, long identity/description, AT/zoom/theme/nativekeyboard and fixed-bar focus checks. Source limit80groups/40invitations disclosed. Earlier test failures corrected navigation-wait race and expected admin membership role; production ownership semantics retained. Paid advanced templates unavailable: local accessible alternatives recorded.</t>
  </si>
  <si>
    <t>Direct tab links and Back/Forward retain the intended directory view.</t>
  </si>
  <si>
    <t>src/app/(app)/groups/page.tsx; src/app/groups/group-directory-tabs.tsx</t>
  </si>
  <si>
    <t>P65-C02</t>
  </si>
  <si>
    <t>Group directory rows</t>
  </si>
  <si>
    <t>Private group detail remains protected until authorised.</t>
  </si>
  <si>
    <t>src/app/(app)/groups/page.tsx</t>
  </si>
  <si>
    <t>P65-C03</t>
  </si>
  <si>
    <t>Group invitation inbox</t>
  </si>
  <si>
    <t>Accepting/declining affects only the named invitation.</t>
  </si>
  <si>
    <t>P65-C04</t>
  </si>
  <si>
    <t>Create group</t>
  </si>
  <si>
    <t>Saved visibility matches the selected option and no members are invited implicitly.</t>
  </si>
  <si>
    <t>src/app/(app)/groups/page.tsx; src/app/groups/group-create-sheet.tsx</t>
  </si>
  <si>
    <t>P66-C01</t>
  </si>
  <si>
    <t>/groups/[groupSlug]</t>
  </si>
  <si>
    <t>Group identity and section tabs</t>
  </si>
  <si>
    <t>Full shared clubhouse, retained Overview/Activity/Members real panels, full weekly results, dated posts, reviewed draft-preserving composer, searchable semantic member table/detail and named pending/error leave/delete. group-detail-browser-final.log PASS3.1m all12 including1440x900/1280x800/1024x800 both surfaces. Exact post/Cancel/leave/delete fixture rows, retained draft across tabs, member facts, zero pageerrors. Types/lint pass;16backendtests pass viewerrole/permissions/rollback.</t>
  </si>
  <si>
    <t>Same fulltask390x844/360x800/1023x800 both surfaces in12view PASS. Full member cards/detail, post sheet drafts, owner/member confirmations. Readinessguard and bottomclearance fixed observed earlyclick and fixed-feedlauncher overlap. 390workbench screenshot inspected under output/playwright/ui-upgrade/group-detail-browser-final.</t>
  </si>
  <si>
    <t>Full acceptance outstanding: browser adversarial permissions/error retries, private-group crossactivity, positive linked event/challenge fixtures, post retry idempotence, long content, AT/zoom/theme/nativekeyboard/safe areas. Service selects40posts pinned-first; UI dates loaded selection newest-first and discloses limit. No member role-change or moderation backend UI invented. Unique positive leader only avoids false0/0tie winner; existing scores unchanged. Prior10sURLwait failed12.1sdevrequest;60snavbudget final passed.</t>
  </si>
  <si>
    <t>The selected groupSlug persists across all actions and tabs.</t>
  </si>
  <si>
    <t>src/app/(app)/groups/[groupSlug]/page.tsx; src/app/groups/group-section-tabs.tsx</t>
  </si>
  <si>
    <t>P66-C02</t>
  </si>
  <si>
    <t>About, current challenge and next event</t>
  </si>
  <si>
    <t>Linked events/challenges belong to the selected group context.</t>
  </si>
  <si>
    <t>src/app/(app)/groups/[groupSlug]/page.tsx</t>
  </si>
  <si>
    <t>P66-C03</t>
  </si>
  <si>
    <t>Group activity stream</t>
  </si>
  <si>
    <t>No private activity from another group appears.</t>
  </si>
  <si>
    <t>P66-C04</t>
  </si>
  <si>
    <t>Create group post</t>
  </si>
  <si>
    <t>Publishing is explicit; private drafts are not shown as delivered posts.</t>
  </si>
  <si>
    <t>P66-C05</t>
  </si>
  <si>
    <t>Members and membership management</t>
  </si>
  <si>
    <t>Role restrictions remain enforced by the server.</t>
  </si>
  <si>
    <t>src/app/(app)/groups/[groupSlug]/page.tsx; src/app/groups/group-members-dialog.tsx</t>
  </si>
  <si>
    <t>P66-C06</t>
  </si>
  <si>
    <t>Leave, delete and other group danger actions</t>
  </si>
  <si>
    <t>No group-wide deletion is presented as simply leaving a group.</t>
  </si>
  <si>
    <t>src/app/(app)/groups/[groupSlug]/page.tsx; src/app/groups/group-danger-actions.tsx</t>
  </si>
  <si>
    <t>P67-C01</t>
  </si>
  <si>
    <t>/feed</t>
  </si>
  <si>
    <t>Feed scope and activity filters</t>
  </si>
  <si>
    <t>Full shared feed, all6supported scopes, loadedsearch/count/Clearall, stagedscope/UTCdatefilters and exactfilteredCSV. Full originalactivity facts/evidence/dates; confirmedmenus and error-preserving engagement forms. Composerreview/audience/photo workflow retained; nativeaudienceSelect fixes popupbehindoverlay. feed-browser-select.log PASS4.1m all12filter/date/search/order/sourceidentity layouts;1440/390bothsurfaces4actualprivatepost/kudos/comment/deleteCancel/delete cases; zero pageerrors. Types/lintpass,CSV2tests+actions14testsPASS.</t>
  </si>
  <si>
    <t>All6sizesbothsurfaces fullfeed; same scope/filter/count/search, naturalwrappedfacts/touchmenus/keyboard-safepostreview. SamePASS12matrix390x844/360x800/1023x800; actual390bothsurfaces publishing+comment+delete tested. Companion390 screenshotinspected under output/playwright/ui-upgrade/feed-browser-select.</t>
  </si>
  <si>
    <t>Full acceptance outstanding: photo processing/errors/stale-replacement browser, server failure/retry/idempotence, foreign audience/mute/hide/report fixtures, commentdelete/reaction and share/reel permissions, AT/zoom/theme/nativekeyboard/fixedbars. Only40loadedvisiblefeeditems available; scope disclosed, no new pagination backend. No sourceType DTO added; original evidence label/proof link retained. Initialcoldcompilegoto timeout; serverresponsive and retrycompiled withoutrestart. Broadverification remains open.</t>
  </si>
  <si>
    <t>Filtering does not turn the feed into an unexplained ranked algorithm.</t>
  </si>
  <si>
    <t>src/app/(app)/feed/page.tsx; src/app/feed/feed-filter-controls.tsx</t>
  </si>
  <si>
    <t>P67-C02</t>
  </si>
  <si>
    <t>Activity stream and per-item actions</t>
  </si>
  <si>
    <t>Visibility, ordering and original event identity remain intact.</t>
  </si>
  <si>
    <t>src/app/(app)/feed/page.tsx; src/components/social/feed-card-list.tsx</t>
  </si>
  <si>
    <t>P67-C03</t>
  </si>
  <si>
    <t>Status update composer</t>
  </si>
  <si>
    <t>No message is published without the user's explicit submit action.</t>
  </si>
  <si>
    <t>src/app/(app)/feed/page.tsx; src/app/feed/status-update-composer.tsx</t>
  </si>
  <si>
    <t>P67-C04</t>
  </si>
  <si>
    <t>Network context and empty feed</t>
  </si>
  <si>
    <t>An empty network offers a real next action rather than fake sample activity.</t>
  </si>
  <si>
    <t>src/app/(app)/feed/page.tsx</t>
  </si>
  <si>
    <t>P68-C01</t>
  </si>
  <si>
    <t>/social-intelligence</t>
  </si>
  <si>
    <t>Generate weekly or challenge recap</t>
  </si>
  <si>
    <t>Shared full recap/safety workspace; saved source identity and unavailable foreign/deleted evidence; reviewed generation parameters and named report confirmation. Actual both surfaces at1440x900,1280x800,1024x800 plus mobile/breakpoint matrix PASS1.7m social-intelligence-browser-repeat.log. Generation failure/retry isolated six sizes PASS9.9s social-generation.log; no live AI call. Types/lint clean; six backend tests pass.</t>
  </si>
  <si>
    <t>Same complete recap/report tasks at390x844,360x800,1023x800 on both surfaces; safety details retain all fields. Actual matrix PASS1.7m; companion390 screenshot inspected. P68 screenshots under output/playwright/ui-upgrade/social-intelligence-browser-repeat.</t>
  </si>
  <si>
    <t>Paid advanced templates unavailable; local accessible forms/detail panels/table alternatives. Full AT, native keyboard/safe-area, zoom/themes, all error/privacy/stale retries and production AI generation remain outstanding. Data limits: latest8 own generation sources,20 saved summaries,20 reports/20 moderation records. First cold compile navigation timed out; repeat passed without runtime changes.</t>
  </si>
  <si>
    <t>Generated summaries retain the actual source scope and do not invent results.</t>
  </si>
  <si>
    <t>src/app/(app)/social-intelligence/page.tsx</t>
  </si>
  <si>
    <t>P68-C02</t>
  </si>
  <si>
    <t>Saved recap list and detail</t>
  </si>
  <si>
    <t>Reopening a recap retains its original content and evidence context.</t>
  </si>
  <si>
    <t>src/app/(app)/social-intelligence/page.tsx; src/components/ui/card.tsx</t>
  </si>
  <si>
    <t>P68-C03</t>
  </si>
  <si>
    <t>Report activity or comment</t>
  </si>
  <si>
    <t>A report is submitted only by explicit action and is scoped to the correct item.</t>
  </si>
  <si>
    <t>P68-C04</t>
  </si>
  <si>
    <t>Safety and moderation ledger</t>
  </si>
  <si>
    <t>Moderator-only data/actions stay protected; status labels reflect the real workflow.</t>
  </si>
  <si>
    <t>P69-C01</t>
  </si>
  <si>
    <t>/profile</t>
  </si>
  <si>
    <t>Identity, avatar and public visibility</t>
  </si>
  <si>
    <t>Full shared profile UI: wrapped identity, retained URL sections, complete achievement details, dated/status-aware searchable record table, mounted draft edit modal, pending/error save, real photo processing/retry, explicit persisted sharing scopes, exact link/QR with copy errors. TypeScript profile-types-final.log clean; scoped lint clean. Isolated edit/photo-failure six sizes PASS4.5s profile-edit.log; backend6tests plus populated privacy loader matrix pass.</t>
  </si>
  <si>
    <t>Same complete profile/editor across widths; full mobile record details, adaptive achievement rows, retained edit/media draft. Isolated edit failure/retry and invalid-photo retention passes390x844,360x800,1023x800 (plus desktop) in profile-edit.log. Actual page screenshot and full12route matrix OUTSTANDING: two initial navigation compile timeouts, profile-browser.log/profile-browser-repeat.log.</t>
  </si>
  <si>
    <t>Actual full page viewport matrix unverified after two60s local compilation navigation timeouts; no screenshot or actual save/QR success claimed. Run tests/e2e/ui-upgrade-profile.spec.ts after local compile recovers. Further validation: successful photo/drop/restore, inline per-field server errors, QR decoding, all data states/native keyboard/AT/zoom/themes. Paid advanced templates unavailable; registered accessible alternatives. Private field loader covered with populated round/handicap/bag tests; broader category sharing audit continues P70.</t>
  </si>
  <si>
    <t>Profile identity and visibility agree with the saved account state.</t>
  </si>
  <si>
    <t>src/app/(app)/profile/page.tsx</t>
  </si>
  <si>
    <t>P69-C02</t>
  </si>
  <si>
    <t>Overview, achievements, records and sharing sections</t>
  </si>
  <si>
    <t>Each section preserves its data and actions on mobile.</t>
  </si>
  <si>
    <t>src/app/(app)/profile/page.tsx; src/app/profile/profile-section-tabs.tsx</t>
  </si>
  <si>
    <t>P69-C03</t>
  </si>
  <si>
    <t>Game overview and recent activity</t>
  </si>
  <si>
    <t>Only supported summary data appears; missing values are unavailable.</t>
  </si>
  <si>
    <t>P69-C04</t>
  </si>
  <si>
    <t>Profile achievement collection</t>
  </si>
  <si>
    <t>Unlocked counts agree with /achievements.</t>
  </si>
  <si>
    <t>P69-C05</t>
  </si>
  <si>
    <t>Profile record collection</t>
  </si>
  <si>
    <t>Only actual earned/verified status is displayed.</t>
  </si>
  <si>
    <t>P69-C06</t>
  </si>
  <si>
    <t>Edit profile details</t>
  </si>
  <si>
    <t>Saved values round-trip and validation errors are attached to the right fields.</t>
  </si>
  <si>
    <t>src/app/(app)/profile/page.tsx; src/app/profile/profile-edit-sheet.tsx</t>
  </si>
  <si>
    <t>P69-C07</t>
  </si>
  <si>
    <t>Avatar and profile media editor</t>
  </si>
  <si>
    <t>Cancelling leaves the previous image intact; upload failures do not blank the avatar.</t>
  </si>
  <si>
    <t>src/app/(app)/profile/page.tsx; src/app/profile/profile-media-editor.tsx</t>
  </si>
  <si>
    <t>P69-C08</t>
  </si>
  <si>
    <t>Profile sharing preferences</t>
  </si>
  <si>
    <t>Disabled scopes are absent from the public profile and generated share output.</t>
  </si>
  <si>
    <t>https://www.untitledui.com/react/components/toggles; https://www.untitledui.com/react/components/inputs</t>
  </si>
  <si>
    <t>P69-C09</t>
  </si>
  <si>
    <t>Share link, preview and QR</t>
  </si>
  <si>
    <t>The QR resolves to the correct profile; private fields are excluded.</t>
  </si>
  <si>
    <t>src/app/(app)/profile/page.tsx; src/app/profile/profile-share-dialog.tsx</t>
  </si>
  <si>
    <t>P70-C01</t>
  </si>
  <si>
    <t>/profile/[username]</t>
  </si>
  <si>
    <t>Profile identity and relationship</t>
  </si>
  <si>
    <t>Shared full public profile with one identity header, exact pending-request action menu/named review, privacy-filtered dated activity/ledger, searchable stock bag table with original permitted units/sample/confidence. P70 actual all12 surface/size combinations PASS in profiles-browser-ready.log (combined run1pass P70,1fail P69 initial compile,3.9m). Types/lint clean; public-profile-final.log3 backend tests pass.</t>
  </si>
  <si>
    <t>Same full approved feed/actions and all mobile bag facts through native details at390x844,360x800,1023x800; twelve surface-size checks passed, no pageerrors/overflow. Accept Cancel inert/confirmed exact request, private category and handicap absent before/after friendship, shared bag150/160yd80%10shots. Companion390 screenshot inspected under profiles-browser-ready.</t>
  </si>
  <si>
    <t>Full AT/keyboard/zoom/theme/private inaccessible profile/anonymous route matrix and large-data pagination/export/savedviews acceptance outstanding. Existing feed limit6 explicitly disclosed. Paid templates unavailable; accessible local alternatives. P69 route test in same run failed initial compile; not evidence against or completion of P70.</t>
  </si>
  <si>
    <t>Private profiles and blocked relationships respect existing visibility rules.</t>
  </si>
  <si>
    <t>src/app/(app)/profile/[username]/page.tsx; src/components/premium.tsx; src/components/social/social-avatar.tsx</t>
  </si>
  <si>
    <t>P70-C02</t>
  </si>
  <si>
    <t>Friend, block and other profile actions</t>
  </si>
  <si>
    <t>Every action targets the viewed username/user ID and preserves server permissions.</t>
  </si>
  <si>
    <t>src/app/(app)/profile/[username]/page.tsx</t>
  </si>
  <si>
    <t>P70-C03</t>
  </si>
  <si>
    <t>Visible stats and bag comparison</t>
  </si>
  <si>
    <t>No hidden raw shot/session information leaks through table expansion or exports.</t>
  </si>
  <si>
    <t>P70-C04</t>
  </si>
  <si>
    <t>Visible activity ledger and feed</t>
  </si>
  <si>
    <t>The feed never broadens access beyond the profile's approved scope.</t>
  </si>
  <si>
    <t>src/app/(app)/profile/[username]/page.tsx; src/components/social/feed-card-list.tsx</t>
  </si>
  <si>
    <t>P71-C01</t>
  </si>
  <si>
    <t>/settings</t>
  </si>
  <si>
    <t>Settings section navigation</t>
  </si>
  <si>
    <t>Complete retained nine-section settings workspace; scoped state saves/pending/errors/reset; explicit invitation recipient/role review and named access changes; actual billing entitlement; clarified defaults versus current access; offline unknown/error/queue payload/freshness rows; unchanged typed reset/delete confirmations plus export. settings-browser-ready.log2PASS2.1m isolated six sizes and actual both surfaces/all six sizes. Types/lint clean, backend scoped settings/sharing5tests+notifications2tests pass.</t>
  </si>
  <si>
    <t>Same all9sections at390x844,360x800,1023x800 with grouped index/back and retained drafts, complete collaborator details/actions, full preferences and desktop shortcuts disclosure. Actual all12matrix passed navigation/overflow, saved name, invitation reviewCancel noinsert, ResetCancel seeded golf session unchanged. P71companion390 screenshot inspected under settings-browser-ready.</t>
  </si>
  <si>
    <t>Full AT/native keyboard/zoom/themes, all actual invitation mutations/revoke/error races, positive media/cache actions, export download contents, billing-provider flows and fixture-only destructive submission remain acceptance work. Existing reset/delete protections retained; no live destructive call. First real test exposed early prehydration typing without Save bar; fields now ready-disabled and final matrix passes. Legacy account coach/public toggles are saved defaults, not current membership/profile access. Feature data now read once for retained sections; large-account performance outstanding. Paid templates unavailable; local accessible alternatives registered.</t>
  </si>
  <si>
    <t>General, Appearance, Privacy, Sharing, Notifications, Connected data, Billing and Danger zone remain reachable.</t>
  </si>
  <si>
    <t>src/app/(app)/settings/page.tsx</t>
  </si>
  <si>
    <t>P71-C02</t>
  </si>
  <si>
    <t>Account details and preferred units</t>
  </si>
  <si>
    <t>Unit changes update display consistently without rewriting stored physical measurements.</t>
  </si>
  <si>
    <t>P71-C03</t>
  </si>
  <si>
    <t>Dashboard shortcuts</t>
  </si>
  <si>
    <t>Saved pins agree with dashboard navigation.</t>
  </si>
  <si>
    <t>P71-C04</t>
  </si>
  <si>
    <t>Theme and information density</t>
  </si>
  <si>
    <t>Cancelling preview restores prior appearance and supported dark/light modes remain legible.</t>
  </si>
  <si>
    <t>src/app/(app)/settings/page.tsx; src/components/theme-preference-select.tsx</t>
  </si>
  <si>
    <t>P71-C05</t>
  </si>
  <si>
    <t>Visibility defaults and current access</t>
  </si>
  <si>
    <t>Public profile visibility never implies account-level access.</t>
  </si>
  <si>
    <t>P71-C06</t>
  </si>
  <si>
    <t>Account access table</t>
  </si>
  <si>
    <t>Owner data remains scoped and role changes are authorised.</t>
  </si>
  <si>
    <t>P71-C07</t>
  </si>
  <si>
    <t>Invite coach, viewer or editor</t>
  </si>
  <si>
    <t>Creating an invitation never grants broader access than the selected existing role.</t>
  </si>
  <si>
    <t>src/app/(app)/settings/page.tsx; src/app/settings/settings-access-actions.tsx</t>
  </si>
  <si>
    <t>P71-C08</t>
  </si>
  <si>
    <t>Category delivery and in-app preferences</t>
  </si>
  <si>
    <t>Settings here and /settings/notifications remain synchronised.</t>
  </si>
  <si>
    <t>P71-C09</t>
  </si>
  <si>
    <t>Data sources, health and account export</t>
  </si>
  <si>
    <t>Export uses the existing authorised endpoint and includes only user-owned data.</t>
  </si>
  <si>
    <t>src/app/(app)/settings/page.tsx; src/components/features/feature-panels.tsx</t>
  </si>
  <si>
    <t>P71-C10</t>
  </si>
  <si>
    <t>Offline saved data and cache management</t>
  </si>
  <si>
    <t>Clearing cache follows existing protections and does not silently delete unsynced edits.</t>
  </si>
  <si>
    <t>src/app/(app)/settings/page.tsx; src/app/settings/offline-storage-panel.tsx</t>
  </si>
  <si>
    <t>P71-C11</t>
  </si>
  <si>
    <t>Membership and billing entry</t>
  </si>
  <si>
    <t>The displayed plan agrees with actual entitlement state.</t>
  </si>
  <si>
    <t>P71-C12</t>
  </si>
  <si>
    <t>Unsaved changes and save feedback</t>
  </si>
  <si>
    <t>A failed save retains values; a successful save clears dirty state exactly once.</t>
  </si>
  <si>
    <t>src/app/(app)/settings/page.tsx; src/app/settings/settings-dirty-form.tsx; src/app/settings/settings-status-toast.tsx</t>
  </si>
  <si>
    <t>P71-C13</t>
  </si>
  <si>
    <t>Reset golf data</t>
  </si>
  <si>
    <t>Both existing confirmations remain required; no live reset is performed during visual verification.</t>
  </si>
  <si>
    <t>src/app/(app)/settings/page.tsx; src/components/app/confirm-submit-button.tsx</t>
  </si>
  <si>
    <t>P71-C14</t>
  </si>
  <si>
    <t>Delete account permanently</t>
  </si>
  <si>
    <t>Server authentication and deletion protections are unchanged; verify using authorised fixtures only.</t>
  </si>
  <si>
    <t>P72-C01</t>
  </si>
  <si>
    <t>/settings/notifications</t>
  </si>
  <si>
    <t>Delivery by notification category</t>
  </si>
  <si>
    <t>Full shared task UI. Types preferences-invitation-types-final.log and scoped lint clean. Actual notification-preferences-browser-final.log:2PASS2.4m, each route both surfaces at1440/1280/390/360/1023/1024.</t>
  </si>
  <si>
    <t>All9delivery categories and5legacy toggles, labelled saved values, ready/pending/error/draft/reset/saved form; exact persisted category+toggle readback and agreement with Settings entry point atall12surface/sizes. First fixture ambiguous Back link corrected to exact section href; no runtime save defect.</t>
  </si>
  <si>
    <t>Broader acceptance deferred: all category combinations, actual delivery/email/push behavior, physical keyboard/safe-area, AT/contrast/theme/zoom and network failure UI. Email selections are preferences only, not claims of delivery. Paid examples unavailable; accessible native selects and existing Switch/stateful form used.</t>
  </si>
  <si>
    <t>Delivery values agree with the Settings notifications section.</t>
  </si>
  <si>
    <t>src/app/(app)/settings/notifications/page.tsx; src/components/ui/select.tsx</t>
  </si>
  <si>
    <t>P72-C02</t>
  </si>
  <si>
    <t>In-app notification categories</t>
  </si>
  <si>
    <t>Disabled categories stop appearing according to the existing preference logic.</t>
  </si>
  <si>
    <t>src/app/(app)/settings/notifications/page.tsx; src/components/ui/switch.tsx</t>
  </si>
  <si>
    <t>P72-C03</t>
  </si>
  <si>
    <t>Preference explanation and feedback</t>
  </si>
  <si>
    <t>The UI never promises push/email delivery that the product does not implement.</t>
  </si>
  <si>
    <t>src/app/(app)/settings/notifications/page.tsx; src/components/premium.tsx; src/components/ui/alert.tsx</t>
  </si>
  <si>
    <t>P73-C01</t>
  </si>
  <si>
    <t>/settings/invitations/[token]</t>
  </si>
  <si>
    <t>Invitation identity and access scope</t>
  </si>
  <si>
    <t>Named recipient/role review, inert Cancel and exact membership acceptance atall12surface/sizes; expired/cancelled/wrong-recipient/missing states checked390. Backend invitation-state-final.log5PASS includes recipient, forgedrole, concurrency, replay and rollback. Companion390 screenshot inspected.</t>
  </si>
  <si>
    <t>Broader acceptance deferred: real account-switch/sign-in continuation, browser action failure/retry, all invalid states atallviewports, AT/zoom/theme/physicalkeyboard. Screenshot after focus return has header near fixed top chrome; neutral top capture/focus clearance remains outstanding. Paid modal examples unavailable; existing responsive focus-managed panel used.</t>
  </si>
  <si>
    <t>The token is validated server-side and does not expose unrelated account data.</t>
  </si>
  <si>
    <t>src/app/(app)/settings/invitations/[token]/page.tsx; src/components/premium.tsx</t>
  </si>
  <si>
    <t>P73-C02</t>
  </si>
  <si>
    <t>Accept invitation and invalid states</t>
  </si>
  <si>
    <t>Acceptance creates only the intended membership; invalid tokens never bypass checks.</t>
  </si>
  <si>
    <t>src/app/(app)/settings/invitations/[token]/page.tsx; src/components/ui/button.tsx; src/components/ui/alert.tsx</t>
  </si>
  <si>
    <t>P74-C01</t>
  </si>
  <si>
    <t>/shared/[userId]</t>
  </si>
  <si>
    <t>Shared player identity and role context</t>
  </si>
  <si>
    <t>One shared identity/read-only role context, full scoped metrics, loaded20 session search/order and semantic table. Types shared-account-types.log/scopedlint clean. Backend shared-account-data-final.log1PASS1.14s: all3roles/owner, revoked/noaccess/invalidUUID, owner-only eligible distance, minimalprofile projection and partialscore null.</t>
  </si>
  <si>
    <t>Same complete shared task on both surfaces, full session details in responsive panel including course/source/date/type/score/holes; safe account-unavailable route. Actual shared-account-browser-final.logFAILED before page: surface/workbench500 Unexpected end of JSON input in runtime. No viewport pass claimed.</t>
  </si>
  <si>
    <t>Actual12surface/viewport UI, screenshot/focus/keyboard, all empty/error/AT/zoom/theme states outstanding due local runtime JSONparsefailure before route. First fixture missing raw_csv_text corrected; not runtime defect. Latest20 remains disclosed loaded limit, no serverpagination added. No session deep links because target owner-only routes do not establish shared access. Paid metrics/table templates unavailable; semantic local alternatives.</t>
  </si>
  <si>
    <t>This route does not impersonate the owner or turn a read-only overview into mutation access.</t>
  </si>
  <si>
    <t>src/app/(app)/shared/[userId]/page.tsx; src/components/premium.tsx</t>
  </si>
  <si>
    <t>P74-C02</t>
  </si>
  <si>
    <t>Permitted account summary</t>
  </si>
  <si>
    <t>Data remains scoped to the authorised shared owner.</t>
  </si>
  <si>
    <t>P74-C03</t>
  </si>
  <si>
    <t>Recent shared sessions</t>
  </si>
  <si>
    <t>Unauthorised or revoked access returns an explicit safe state.</t>
  </si>
  <si>
    <t>src/app/(app)/shared/[userId]/page.tsx; src/components/ui/table.tsx</t>
  </si>
  <si>
    <t>P75-C01</t>
  </si>
  <si>
    <t>/billing</t>
  </si>
  <si>
    <t>Current plan and entitlement</t>
  </si>
  <si>
    <t>Same full billing task: savedplan/status/period, exactcatalogprices and supportedavailability, review before provider handoff, pending/error retry, truthful return notice, history order and practical allowances. Billing-controls.log1PASS24.6s6sizes; billing-browser-ready.log1PASS1.0m all12surface/sizes savedpaid access/period, no payments.</t>
  </si>
  <si>
    <t>Stacked Free/Full plans, native complete feature disclosure, selected price/period beside44px review, full responsive management and history detail panels. Native allowance disclosure and readyguard historybuttons fixed earlyhydration taps. Companion390 screenshot inspected. Backend redesign/billing-state-final.log7PASS; actualfixture confirms savedsubscriptionunchanged and no foreigndata.</t>
  </si>
  <si>
    <t>Full acceptance deferred: real authorised Stripe test checkout/portal redirects, provider confirmation/webhook, currencies/tax/receipt links, all paymentfailure/renewal/entitlement states, AT/zoom/theme/physicalkeyboard. Storedhistorycontains no invoice amounts/currencies/receipt URLs, explicitly explained; genuine providerportal used whenavailable. Paid billing/table/modal examples unavailable; nativecomparison/disclosures and existing responsivepanels. No livepayment performed. Finalneutralnotice icon changed toInfo aftercapture.</t>
  </si>
  <si>
    <t>Temporary provider failure is not shown as a lost paid entitlement.</t>
  </si>
  <si>
    <t>src/app/(app)/billing/page.tsx</t>
  </si>
  <si>
    <t>P75-C02</t>
  </si>
  <si>
    <t>Free versus Full comparison</t>
  </si>
  <si>
    <t>No prices, limits or promises are invented by the visual migration.</t>
  </si>
  <si>
    <t>src/app/(app)/billing/page.tsx; src/components/ui/table.tsx</t>
  </si>
  <si>
    <t>https://www.untitledui.com/react/components/tables; https://www.untitledui.com/react/components/radio-groups; https://www.untitledui.com/react/components/buttons</t>
  </si>
  <si>
    <t>P75-C03</t>
  </si>
  <si>
    <t>Plan and checkout selection</t>
  </si>
  <si>
    <t>Opening or reviewing a plan does not initiate a charge; test payment flows in an authorised test environment.</t>
  </si>
  <si>
    <t>P75-C04</t>
  </si>
  <si>
    <t>Manage subscription</t>
  </si>
  <si>
    <t>No optimistic success is shown before the billing provider confirms the change.</t>
  </si>
  <si>
    <t>src/app/(app)/billing/page.tsx; src/app/billing/billing-manage-dialog.tsx</t>
  </si>
  <si>
    <t>P75-C05</t>
  </si>
  <si>
    <t>Billing history and receipts</t>
  </si>
  <si>
    <t>Currencies and amounts are exact and no private billing data crosses accounts.</t>
  </si>
  <si>
    <t>P75-C06</t>
  </si>
  <si>
    <t>Plan explanations and service state</t>
  </si>
  <si>
    <t>The product UI explains what the user can do without exposing configuration instructions.</t>
  </si>
  <si>
    <t>P76-C01</t>
  </si>
  <si>
    <t>/admin</t>
  </si>
  <si>
    <t>Admin navigation and account context</t>
  </si>
  <si>
    <t>Full Operations console with collapsible/searchable adminnavigation, factualsnapshot timestamp/status links, priority/area queue ordering, full auditactor/action/target/source detail and existing namedworkflowlinks. Types billing-admin-types.logclean; unusedimportsremoved. Backend redesign/admin-overview-integration.log5PASS2.77s gatedread/count/no-mutation checks.</t>
  </si>
  <si>
    <t>Completefullmobilepage with 6section searchpanel, 44px issue rows and fullevidence/action detail panels, native auditdisclosures, readable statusrows. Isolated6sizesPASS in admin-overview-browser.log. Actual admin-overview-browser-final.log reachedall12surface/sizes assertions+screenshots; finalinactiveadminreload90stimeout means overalltestFAILED. Companion390 screenshotinspected.</t>
  </si>
  <si>
    <t>Broaderacceptanceoutstanding: inactiveadmin browserredirecttimedout afterall12UIcaptures; rolebackendtests pass. Fullpageerrorsfinalassertion not reached. Largeaudit/history/serverpagination, screenreader/zoom/theme/physicalkeyboard remain. Latest8auditlimitdisclosed; separateoutcomes absent inDTO explicitlyNotrecorded. Paidnavigation/table/activitytemplates unavailable; accessiblelocal alternatives.</t>
  </si>
  <si>
    <t>Admin permissions remain server-enforced on every route and action.</t>
  </si>
  <si>
    <t>src/app/(admin)/admin/page.tsx; src/app/admin/admin-components.tsx</t>
  </si>
  <si>
    <t>P76-C02</t>
  </si>
  <si>
    <t>Operational health overview</t>
  </si>
  <si>
    <t>Unknown/unavailable health is never shown as healthy.</t>
  </si>
  <si>
    <t>src/app/(admin)/admin/page.tsx; src/app/admin/admin-overview-components.tsx</t>
  </si>
  <si>
    <t>P76-C03</t>
  </si>
  <si>
    <t>Priority queues and operations panels</t>
  </si>
  <si>
    <t>Queue totals and destinations agree with canonical admin data.</t>
  </si>
  <si>
    <t>P76-C04</t>
  </si>
  <si>
    <t>Operations audit history</t>
  </si>
  <si>
    <t>Sensitive details remain visible only to authorised administrators.</t>
  </si>
  <si>
    <t>src/app/(admin)/admin/page.tsx; src/components/app/status-timeline.tsx</t>
  </si>
  <si>
    <t>P76-C05</t>
  </si>
  <si>
    <t>Quick admin actions</t>
  </si>
  <si>
    <t>No administrative mutation happens from merely opening a menu.</t>
  </si>
  <si>
    <t>src/app/(admin)/admin/page.tsx; src/components/ui/button.tsx</t>
  </si>
  <si>
    <t>P77-C01</t>
  </si>
  <si>
    <t>/admin/users</t>
  </si>
  <si>
    <t>User search and account filters</t>
  </si>
  <si>
    <t>Full searchableaccountdirectory, filters/ordering/chips/Clearall, complete detail/actionpanel, exactreviewedidentity, serverconfirmedpending/error/receipt, preservedquery. Typesadmin-users-types-final/scopedlintclean beforefinalmobilewidth adjustment. Backendredesign/admin-state-identity.log18PASS; admin-action-routing.log12PASS; dedicatedidentity1PASS958ms.</t>
  </si>
  <si>
    <t>Full account fields/audit/actions, filterdrawerApply/Reset/count,44pxactionreview, inertCancel. Isolatedadmin-users-controls.log1PASS7.7sall6sizes exactID/email/rolefailure/retry. Actualadmin-users-browser-final.log1PASS2.4mall12surface/sizes; exacttargetoperatorgrant, ownerunchanged, querypreserved. FirstdrawerremainedopenafterApplyfixed. Screenshot390inspected.</t>
  </si>
  <si>
    <t>Broaderacceptanceoutstanding: globalfilter/pagination (existinglatest100searchmatch limitbeforelocalfilters retained anddisclosed); realallrole/lifetime/deactivateUIcases, AT/theme/zoom/physicalkeyboard. Screenshotcaughtclosingdrawertransition; neutralcaptureoutstanding. Searchfieldwidenedaftermobilecapture; finalvisualverificationoutstanding. Existingpre-upgradeadminrole/concurrencydiff remainsunstagedforotheragentintegration; testsrancombinedworkingtree. Paidtable/filter/modal examples unavailable; explicitsemanticnative/localalternatives.</t>
  </si>
  <si>
    <t>Search results remain admin-only and query state survives detail navigation.</t>
  </si>
  <si>
    <t>src/app/(admin)/admin/users/page.tsx; src/components/ui/input.tsx; src/components/ui/select.tsx</t>
  </si>
  <si>
    <t>P77-C02</t>
  </si>
  <si>
    <t>User account table</t>
  </si>
  <si>
    <t>Actions cannot target a stale previously selected account.</t>
  </si>
  <si>
    <t>src/app/(admin)/admin/users/page.tsx; src/components/ui/table.tsx</t>
  </si>
  <si>
    <t>P77-C03</t>
  </si>
  <si>
    <t>User access and role actions</t>
  </si>
  <si>
    <t>Role changes remain authorised and do not grant broader access implicitly.</t>
  </si>
  <si>
    <t>src/app/(admin)/admin/users/page.tsx; src/app/admin/admin-user-actions.tsx</t>
  </si>
  <si>
    <t>P77-C04</t>
  </si>
  <si>
    <t>Account-operation feedback</t>
  </si>
  <si>
    <t>Failed operations leave the authoritative previous state visible.</t>
  </si>
  <si>
    <t>src/app/(admin)/admin/users/page.tsx; src/app/admin/admin-components.tsx</t>
  </si>
  <si>
    <t>P78-C01</t>
  </si>
  <si>
    <t>/admin/moderation</t>
  </si>
  <si>
    <t>Queue filters and selection scope</t>
  </si>
  <si>
    <t>Separate reports/events80recordloadedscopes, search/filter/order withquerypreservation andclearedhiddenselection, explicitselectedreviewtargets, actualpartialcountreceipt, completeevidence, actualmoderationauditDTO. Types/admin-moderation-lintclean. Backendredesign/admin-moderation-bulk.log2PASS4.04s overlappingbatches/audit/no unrelated events.</t>
  </si>
  <si>
    <t>44pxselection andfullreport/eventdetail/actionpanels, exactreviewlist. Isolated6sizesPASSadmin-moderation-browser.log. Actualadmin-moderation-browser-final.log1PASS1.1mall12surface/sizes: inertCancel, staleoneoftwo→actual1of2resolved, exactly1audit, eventuntouched/fullhighseverityevidence. Firstactuallatehydrationdisabledcontrols15s; bounded60sreadywaitpassed without runtimechange.</t>
  </si>
  <si>
    <t>Broaderacceptanceoutstanding: actualnetworkfailureretry/allstatus/AT/zoom/theme/physicalkeyboard, largehistory/serverpagination beyond80each. Localhydrationexceeded15s, performanceunderpressureunverified. Companion390capture caughtdrawerexittransition; neutralcaptureoutstanding. Auditmetadataoutcomeabsent shownNotrecorded, not fabricated. Paidfilter/table/modal/activity examplesunavailable; accessiblelocalalternatives.</t>
  </si>
  <si>
    <t>Bulk actions cannot silently include unseen unselected rows.</t>
  </si>
  <si>
    <t>src/app/(admin)/admin/moderation/page.tsx; src/components/app/desktop-workbench.tsx</t>
  </si>
  <si>
    <t>P78-C02</t>
  </si>
  <si>
    <t>User reports queue</t>
  </si>
  <si>
    <t>A report remains distinct from an automatically detected moderation event.</t>
  </si>
  <si>
    <t>src/app/(admin)/admin/moderation/page.tsx; src/components/ui/table.tsx</t>
  </si>
  <si>
    <t>P78-C03</t>
  </si>
  <si>
    <t>Moderation events queue</t>
  </si>
  <si>
    <t>Actions and status labels match the actual event workflow.</t>
  </si>
  <si>
    <t>P78-C04</t>
  </si>
  <si>
    <t>Individual and bulk decisions</t>
  </si>
  <si>
    <t>Partial failure is not reported as total success; no action occurs on selection alone.</t>
  </si>
  <si>
    <t>src/app/(admin)/admin/moderation/page.tsx; src/app/admin/moderation-row-actions.tsx; src/app/admin/admin-bulk-action-submit.tsx</t>
  </si>
  <si>
    <t>P78-C05</t>
  </si>
  <si>
    <t>Moderation audit history</t>
  </si>
  <si>
    <t>Audit history is preserved through the UI migration.</t>
  </si>
  <si>
    <t>src/app/(admin)/admin/moderation/page.tsx; src/components/app/status-timeline.tsx</t>
  </si>
  <si>
    <t>P79-C01</t>
  </si>
  <si>
    <t>/admin/billing</t>
  </si>
  <si>
    <t>Billing overview and plan limits</t>
  </si>
  <si>
    <t>Full billing task on both surfaces; compact loaded counts, configured limits, searchable full subscription/entitlement details, canonical owner grant review and actual grant audit. admin-billing-browser.log: 2 passed 1.2m, isolated six sizes plus actual both surfaces at all six sizes; Cancel left fixture unchanged. TypeScript and scoped lint pass.</t>
  </si>
  <si>
    <t>Same full task at 390x844,360x800,1023x800,1024x800; complete details and named grant review, no horizontal overflow. P79-companion-390 screenshot inspected with drawer/overlay removal awaited. Mock failure/retry retains exact account identity.</t>
  </si>
  <si>
    <t>Partial verification only: native zoom, screen reader, physical keyboard/safe areas, full theme/error/permission matrix outstanding. Provider invoice/revocation history unavailable; current entitlement snapshots labelled accurately. Paid advanced examples unavailable; accessible local compositions. Service tests ran combined tree; unrelated admin concurrency changes remain unstaged.</t>
  </si>
  <si>
    <t>No live pricing/limits are invented or cached as authoritative after errors.</t>
  </si>
  <si>
    <t>src/app/(admin)/admin/billing/page.tsx; src/app/admin/admin-components.tsx</t>
  </si>
  <si>
    <t>P79-C02</t>
  </si>
  <si>
    <t>Grant lifetime Full</t>
  </si>
  <si>
    <t>The existing admin gate and explicit confirmation remain; visual tests do not grant real entitlements.</t>
  </si>
  <si>
    <t>src/app/(admin)/admin/billing/page.tsx; src/components/ui/input.tsx</t>
  </si>
  <si>
    <t>P79-C03</t>
  </si>
  <si>
    <t>Subscriptions table and management</t>
  </si>
  <si>
    <t>Provider failures and app entitlement state remain distinct.</t>
  </si>
  <si>
    <t>src/app/(admin)/admin/billing/page.tsx; src/components/ui/table.tsx; src/app/admin/admin-billing-actions.tsx</t>
  </si>
  <si>
    <t>P79-C04</t>
  </si>
  <si>
    <t>Recent entitlement history</t>
  </si>
  <si>
    <t>Every displayed entitlement transition corresponds to an actual recorded event.</t>
  </si>
  <si>
    <t>src/app/(admin)/admin/billing/page.tsx; src/components/app/status-timeline.tsx</t>
  </si>
  <si>
    <t>P80-C01</t>
  </si>
  <si>
    <t>/admin/challenges</t>
  </si>
  <si>
    <t>Competition operations summary</t>
  </si>
  <si>
    <t>Full shared challenge page: loaded metrics, searchable/sortable board register, exact board details/participant link and template creation/copy/edit with explicit scoring review, Cancel and retained errors. Actual all12 passed in admin-challenges-browser.log; isolated corrected six-size retry test passed 5.7s in admin-challenges-controls-final.log. Types/scoped lint pass.</t>
  </si>
  <si>
    <t>Full boards and template editor at 390x844,360x800,1023x800,1024x800 on both surfaces; actual Cancel no mutation, exact board/template IDs, no overflow/pageerrors. Companion390 template-list screenshot inspected. Mock invalid JSON and save failure retain draft and identical retry payload.</t>
  </si>
  <si>
    <t>Full acceptance pending: physical keyboard/safe areas, screen reader, zoom/theme/state matrix and actual browser-confirmed template save. Scoring rules on referenced templates cannot change; Create copy supported. No template visibility field exists (board-owned). No existing admin board close/publish operations; full inspect and authorised participant route preserved, requested consequential board controls need a supported service. Paid advanced examples unavailable.</t>
  </si>
  <si>
    <t>Counts match the current admin scope.</t>
  </si>
  <si>
    <t>src/app/(admin)/admin/challenges/page.tsx; src/app/admin/admin-components.tsx</t>
  </si>
  <si>
    <t>P80-C02</t>
  </si>
  <si>
    <t>Template operations</t>
  </si>
  <si>
    <t>Template changes preserve current validation and authorisation.</t>
  </si>
  <si>
    <t>src/app/(admin)/admin/challenges/page.tsx; src/app/admin/admin-challenge-actions.tsx</t>
  </si>
  <si>
    <t>P80-C03</t>
  </si>
  <si>
    <t>Challenge boards register</t>
  </si>
  <si>
    <t>A selected board is unmistakable before a consequential action.</t>
  </si>
  <si>
    <t>src/app/(admin)/admin/challenges/page.tsx; src/components/ui/table.tsx</t>
  </si>
  <si>
    <t>P80-C04</t>
  </si>
  <si>
    <t>Board and event management actions</t>
  </si>
  <si>
    <t>Existing scoring, eligibility and audit rules remain intact.</t>
  </si>
  <si>
    <t>P81-C01</t>
  </si>
  <si>
    <t>/admin/system-checks</t>
  </si>
  <si>
    <t>Health summary and needs-attention list</t>
  </si>
  <si>
    <t>Full shared health summary/register with priority/search/result controls and complete diagnostics. Actual recorded DB check reviewed then saved to dated audit history; provider health remains unknown. admin-system-browser.log 1 passed35.7s both surfaces/all6; confirmed refresh adds exact one audit and previous seven-failure snapshot retained. Types/scoped lint clean.</t>
  </si>
  <si>
    <t>390x844,360x800,1023x800,1024x800 complete diagnostics, Cancel/no write, exact recorded refresh and native expandable chronological history; no overflow/pageerrors. Companion390 screenshot inspected.</t>
  </si>
  <si>
    <t>Broad acceptance/physical keyboard, zoom, screen reader, themes, all error states outstanding. Live provider/auth/storage/AI health checks are not implemented; refresh explicitly reads stored operational records. Historical failed query attempts cannot be recorded when DB unavailable; existing recorded snapshots remain. Paid advanced examples unavailable; native local alternatives.</t>
  </si>
  <si>
    <t>Unknown, degraded and healthy remain distinct states.</t>
  </si>
  <si>
    <t>src/app/(admin)/admin/system-checks/page.tsx</t>
  </si>
  <si>
    <t>P81-C02</t>
  </si>
  <si>
    <t>Health register</t>
  </si>
  <si>
    <t>Sensitive operational information remains admin-only.</t>
  </si>
  <si>
    <t>P81-C03</t>
  </si>
  <si>
    <t>Retry failed check</t>
  </si>
  <si>
    <t>A retry only marks success after an actual successful result.</t>
  </si>
  <si>
    <t>src/app/(admin)/admin/system-checks/page.tsx; src/app/admin/admin-retry-button.tsx</t>
  </si>
  <si>
    <t>P81-C04</t>
  </si>
  <si>
    <t>Check history</t>
  </si>
  <si>
    <t>Historical failures are not erased by a newer successful result.</t>
  </si>
  <si>
    <t>src/app/(admin)/admin/system-checks/page.tsx; src/components/app/status-timeline.tsx</t>
  </si>
  <si>
    <t>P82-C01</t>
  </si>
  <si>
    <t>/partners</t>
  </si>
  <si>
    <t>Partner operations overview</t>
  </si>
  <si>
    <t>Full shared partner workspace, actual scoped counts, sponsor/offer review forms with recovery, explicit full offer terms/coupon/context and canonical stored-URL click, searchable sponsor register. partners-browser-final.log1PASS53.4s all12 after metadata renderer fix; isolated six-size exact payload/error retry passed in partners-browser.log. Types/lint clean before metadata stringify fix.</t>
  </si>
  <si>
    <t>Both surfaces at all six required sizes: full sponsor and offer drafts, Cancel no mutation, named sponsor ID/full contact/metadata detail, complete terms/coupon/destination, no preview click tracking, no horizontal overflow/pageerrors. Companion390 screenshot inspected.</t>
  </si>
  <si>
    <t>Full acceptance pending: physical keyboard/safe areas, zoom/screenreader/theme matrix, actual browser confirmed creation and external destination error flow. Sponsor metadata crash found and fixed with object serialization, actual rerun passed. Commercial plan/asset approvals are not configured and not fabricated. Global newest40 sponsors/latest80offers disclosed; all owned sponsors available independently. Paid advanced examples unavailable.</t>
  </si>
  <si>
    <t>Owned and publicly visible partner information remain properly scoped.</t>
  </si>
  <si>
    <t>src/app/(app)/partners/page.tsx</t>
  </si>
  <si>
    <t>P82-C02</t>
  </si>
  <si>
    <t>Create sponsor</t>
  </si>
  <si>
    <t>Creating a sponsor does not publish unrelated offers or send contact messages.</t>
  </si>
  <si>
    <t>src/app/(app)/partners/page.tsx; src/components/ui/input.tsx</t>
  </si>
  <si>
    <t>P82-C03</t>
  </si>
  <si>
    <t>Create partner offer</t>
  </si>
  <si>
    <t>Offer URLs and sponsorship labels persist correctly.</t>
  </si>
  <si>
    <t>src/app/(app)/partners/page.tsx; src/components/ui/select.tsx; src/components/ui/textarea.tsx</t>
  </si>
  <si>
    <t>P82-C04</t>
  </si>
  <si>
    <t>Partner offer cards and destination actions</t>
  </si>
  <si>
    <t>Tracking follows the existing explicit click action; no click is recorded merely by rendering a preview.</t>
  </si>
  <si>
    <t>src/app/(app)/partners/page.tsx; src/components/ui/card.tsx</t>
  </si>
  <si>
    <t>P82-C05</t>
  </si>
  <si>
    <t>Campaign, asset and plan requirements</t>
  </si>
  <si>
    <t>Requirements reflect actual configured state, not assumed commercial terms.</t>
  </si>
  <si>
    <t>P83-C01</t>
  </si>
  <si>
    <t>/</t>
  </si>
  <si>
    <t>Public navigation</t>
  </si>
  <si>
    <t>Existing golf art/renderers preserved. Full plan features/terms from billing catalogue; honest sign-in CTA, full-image product links, real feature links, shared FAQ source/native disclosures, skip link and explicit Twin launch/static plan detail. public-home-browser-final.log1PASS10.5s6sizes: anchors, FAQ/JSON-LD exactparity, allprice/features, noJSFAQ, nooverflow/pageerrors. Types/lint pass.</t>
  </si>
  <si>
    <t>390x844,360x800,1023/1024 tested: searchable close-on-navigation public menu, normal-flow readable hero/title/CTA, full plan features, modelled Twin full detail and full-image links. Screenshot caught delayed reduced-motion hero; explicit animation/opacity fix and rerun passed. Final390 hero and1440 pricing inspected.</t>
  </si>
  <si>
    <t>Partial acceptance: live WebGL interaction, normal-motion matrix, native200%zoom/screenreader/physicalsafeareas, fullasset/current-product-parity audit outstanding. Last mobile headline contrast rule added after screenshot; final screenshot for that small change pending. Existing product preview figures explicitly illustrative. Paid advanced examples unavailable; local alternatives retained.</t>
  </si>
  <si>
    <t>Every navigation link reaches a real section or route and no desktop menu overlaps the mobile menu.</t>
  </si>
  <si>
    <t>src/app/page.tsx; src/components/marketing/marketing-header.tsx; src/components/marketing/marketing-mobile-menu.tsx</t>
  </si>
  <si>
    <t>P83-C02</t>
  </si>
  <si>
    <t>Hero product stage and primary CTA</t>
  </si>
  <si>
    <t>CTA destination is correct and critical copy stays visible with long text/200% zoom.</t>
  </si>
  <si>
    <t>src/app/page.tsx; src/components/marketing/hero-product-stage.tsx</t>
  </si>
  <si>
    <t>P83-C03</t>
  </si>
  <si>
    <t>Page progression and section transitions</t>
  </si>
  <si>
    <t>All sections remain reachable without animation or precise scrolling gestures.</t>
  </si>
  <si>
    <t>src/app/page.tsx; src/components/marketing/story-continuity.tsx</t>
  </si>
  <si>
    <t>P83-C04</t>
  </si>
  <si>
    <t>Brand promise section</t>
  </si>
  <si>
    <t>No unsupported product capability or result guarantee is added.</t>
  </si>
  <si>
    <t>src/app/page.tsx; src/components/marketing/cinematic-sections.tsx</t>
  </si>
  <si>
    <t>P83-C05</t>
  </si>
  <si>
    <t>Course Twin showcase</t>
  </si>
  <si>
    <t>No heavy animation is required to understand the feature or continue the page.</t>
  </si>
  <si>
    <t>src/app/page.tsx; src/components/marketing/lazy-marketing-sections.tsx</t>
  </si>
  <si>
    <t>P83-C06</t>
  </si>
  <si>
    <t>Practice showcase</t>
  </si>
  <si>
    <t>The demonstration does not imply unsupported automatic outcomes.</t>
  </si>
  <si>
    <t>P83-C07</t>
  </si>
  <si>
    <t>Product screenshots and tour</t>
  </si>
  <si>
    <t>Image alt text and product captions describe the actual shown feature.</t>
  </si>
  <si>
    <t>P83-C08</t>
  </si>
  <si>
    <t>Feature grid</t>
  </si>
  <si>
    <t>No placeholder links or generic unrelated SaaS features.</t>
  </si>
  <si>
    <t>P83-C09</t>
  </si>
  <si>
    <t>Privacy and trust section</t>
  </si>
  <si>
    <t>Do not invent certification, encryption guarantees or compliance claims.</t>
  </si>
  <si>
    <t>src/app/page.tsx; src/components/marketing/privacy-trust-section.tsx</t>
  </si>
  <si>
    <t>P83-C10</t>
  </si>
  <si>
    <t>Public pricing section</t>
  </si>
  <si>
    <t>Public and private pricing agree; no purchase occurs from merely choosing a preview option.</t>
  </si>
  <si>
    <t>src/app/page.tsx; src/components/marketing/pricing-section.tsx</t>
  </si>
  <si>
    <t>P83-C11</t>
  </si>
  <si>
    <t>Beta access or join CTA</t>
  </si>
  <si>
    <t>Do not add an email collection or subscription endpoint that does not exist.</t>
  </si>
  <si>
    <t>src/app/page.tsx; src/components/marketing/beta-access-section.tsx</t>
  </si>
  <si>
    <t>P83-C12</t>
  </si>
  <si>
    <t>FAQ</t>
  </si>
  <si>
    <t>Visible FAQ answers agree with the page's FAQ structured data.</t>
  </si>
  <si>
    <t>P83-C13</t>
  </si>
  <si>
    <t>Footer and policy links</t>
  </si>
  <si>
    <t>All footer links resolve and no duplicate contradictory brand names are introduced.</t>
  </si>
  <si>
    <t>src/app/page.tsx; src/components/marketing/marketing-footer.tsx</t>
  </si>
  <si>
    <t>P84-C01</t>
  </si>
  <si>
    <t>/login</t>
  </si>
  <si>
    <t>Authentication brand and product context</t>
  </si>
  <si>
    <t>Single form h1, actual auth modes preserved, safe local return context, controlled retained fields, accessible ready password visibility and pending OAuth button, field-associated recovery. Friendly unavailable copy and OAuth/callback safe-next retention. login-browser-ready.log1PASS5.8s all6; isolated six-size mocked credential/transport errors passed in login-browser.log; types/lint clean.</t>
  </si>
  <si>
    <t>390x844,360x800,1023/1024: one heading, autofill, show/hide password, all supported modes and visible privacy link, preserved safe hidden next. External next rejected and query-only deletion return not treated as confirmation. No overflow/pageerrors;390 screenshot inspected.</t>
  </si>
  <si>
    <t>Real password/Google/magic-link flows not executed; no external email/provider request sent. Broad theme/screenreader/nativezoom/softwarekeyboard verification outstanding. Early hydration input preservation before client ready remains unverified; new toggle disabled until hydrated. Initial actual run hydration issue, second wrong visible-link count fixed; final passed. Paid advanced examples unavailable.</t>
  </si>
  <si>
    <t>The intended destination/return path remains visible or preserved.</t>
  </si>
  <si>
    <t>src/app/login/page.tsx; src/components/brand-mark.tsx</t>
  </si>
  <si>
    <t>P84-C02</t>
  </si>
  <si>
    <t>Email/password and supported sign-in modes</t>
  </si>
  <si>
    <t>Successful sign-in preserves the safe return path; failures do not erase useful input or expose secrets.</t>
  </si>
  <si>
    <t>src/app/login/page.tsx; src/app/login/login-form.tsx</t>
  </si>
  <si>
    <t>P84-C03</t>
  </si>
  <si>
    <t>Authentication loading, errors and recovery</t>
  </si>
  <si>
    <t>No misleading success appears before authentication is confirmed.</t>
  </si>
  <si>
    <t>src/app/login/page.tsx; src/app/login/login-form.tsx; src/components/ui/alert.tsx</t>
  </si>
  <si>
    <t>P84-C04</t>
  </si>
  <si>
    <t>Account-data and privacy explanation</t>
  </si>
  <si>
    <t>Copy matches actual data handling and does not expose configuration details.</t>
  </si>
  <si>
    <t>src/app/login/page.tsx; src/components/premium.tsx</t>
  </si>
  <si>
    <t>P85-C01</t>
  </si>
  <si>
    <t>/welcome</t>
  </si>
  <si>
    <t>First trusted insight and resume state</t>
  </si>
  <si>
    <t>Shared full onboarding: actual saved evidence, current step, resume and explicit destination; viewing does not mark steps complete. welcome-browser-ready.log PASS13.6s both surfaces at1440x900,1280x800,1024x800; progress1/6 and six steps, no overflow/page errors. Types and lint pass.</t>
  </si>
  <si>
    <t>Same complete checklist and actions at390x844,360x800,1023x800 on both surfaces; actual browser pass and P85 captures;390 companion screenshot reviewed. Isolated controls pass all six sizes including unavailable progress and skip-error retry.</t>
  </si>
  <si>
    <t>Broader screen-reader, native zoom, physical keyboard/safe-area, themes and full saved progress combinations outstanding. Actual browser skip mutation not exercised; owned-fixture dismissal DB test passes. Existing trust eligibility can count unmeasured rows: backend gap retained for post-UI pass; UI describes current filters, not verified measurement quality. Paid advanced examples unavailable; local accessible composition.</t>
  </si>
  <si>
    <t>Returning users resume real saved progress; ?resume=1 remains meaningful.</t>
  </si>
  <si>
    <t>src/app/(app)/welcome/page.tsx; src/app/(app)/welcome/welcome-workbench-page.tsx; src/app/(app)/welcome/welcome-companion-page.tsx</t>
  </si>
  <si>
    <t>P85-C02</t>
  </si>
  <si>
    <t>Setup checklist and import path</t>
  </si>
  <si>
    <t>Opening a step does not mark it complete and historical state is not fabricated.</t>
  </si>
  <si>
    <t>P85-C03</t>
  </si>
  <si>
    <t>Skip, continue and completion actions</t>
  </si>
  <si>
    <t>Skipping optional setup does not disable core golf functionality.</t>
  </si>
  <si>
    <t>P86-C01</t>
  </si>
  <si>
    <t>/privacy</t>
  </si>
  <si>
    <t>Data-notice title and navigation</t>
  </si>
  <si>
    <t>Single full-width data notice; plain-language stored data/AI/analytics/sharing, exact settings links with distinct export/reset/deletion explanation. privacy-browser-final.log PASS2.1s all6 required sizes, one h1, full sections, focusable44px links, anchors and no overflow/page errors. Types and scoped lint clean.</t>
  </si>
  <si>
    <t>All essential facts visible in stacked sections and complete controls;390x844,360x800,1023x800 checked in same browser pass.390 full-page screenshot inspected. No desktop handoff.</t>
  </si>
  <si>
    <t>Approved policy signoff, signed-in context browser run, physical keyboard/screen-reader/native zoom and themes outstanding. Export pagination separately proven5000+1 owned rows, no foreign rows; concurrent export snapshot consistency not claimed. No actual reset/deletion invoked. Paid advanced examples unavailable, local accessible composition.</t>
  </si>
  <si>
    <t>The route remains available in public and signed-in contexts as intended.</t>
  </si>
  <si>
    <t>src/app/privacy/page.tsx; src/components/premium.tsx</t>
  </si>
  <si>
    <t>P86-C02</t>
  </si>
  <si>
    <t>Data categories and privacy explanations</t>
  </si>
  <si>
    <t>No NEXT_PUBLIC_* or DATABASE_URL setup instructions appear as ordinary privacy copy; factual claims are checked against implementation and approved policy.</t>
  </si>
  <si>
    <t>P86-C03</t>
  </si>
  <si>
    <t>Export, deletion and practical controls</t>
  </si>
  <si>
    <t>The notice does not imply data is deleted merely by following a link.</t>
  </si>
  <si>
    <t>src/app/privacy/page.tsx; src/components/ui/button.tsx; src/components/ui/card.tsx</t>
  </si>
  <si>
    <t>P87-C01</t>
  </si>
  <si>
    <t>/offline</t>
  </si>
  <si>
    <t>Connection status and saved resources</t>
  </si>
  <si>
    <t>Offline shell widened with full saved resource groups, compact local-copy banner, saved timestamps or explicit unknown age, searchable responsive resource panel. Existing practice/quick/bag/strategy/round renderers preserved; practice local save timestamp recorded. offline-browser-final.log PASS6.1s six required sizes; source-owned saved resources only, no invalid Quick Range copy, failed reconnect preserves page, no overflow/page errors. Types/lint pass.</t>
  </si>
  <si>
    <t>Complete existing local task renderers retained; five navigation destinations remain. Search/filter/Escape and reconnect failure checked390x844,360x800,1023x800;390 screenshot inspected. Saved round opens by exactID and reload retains score5/dirtyhole7; account switch clears private detail.</t>
  </si>
  <si>
    <t>Full practice block/Quick Range failure and reopen combinations, cached strategy renderer matrix, physical airplane-mode/service-worker lifecycle, real reconnect conflict/sync, safe-area/keyboard/screen-reader/native zoom/themes outstanding. Browser round reopen tested at final1024 size; no full viewport round editor acceptance claimed. Legacy practice/quick/round timestamps absent and shown unknown. Other authorised online-only destinations need connection; offline panel lists actual saved resources only. Paid advanced examples unavailable; local accessible composition.</t>
  </si>
  <si>
    <t>Unsaved/unavailable resources are not shown as ready; cached data age is visible.</t>
  </si>
  <si>
    <t>src/app/offline/page.tsx; src/app/offline/offline-companion.tsx</t>
  </si>
  <si>
    <t>P87-C02</t>
  </si>
  <si>
    <t>Saved practice and Quick Range</t>
  </si>
  <si>
    <t>Reconnect does not overwrite local progress without the existing conflict process.</t>
  </si>
  <si>
    <t>src/app/offline/page.tsx; src/app/practice/active-range-mode.tsx; src/app/practice/quick-range/quick-range-session.tsx</t>
  </si>
  <si>
    <t>P87-C03</t>
  </si>
  <si>
    <t>Saved strategy and bag reference</t>
  </si>
  <si>
    <t>Offline values are never advertised as newly synced live data.</t>
  </si>
  <si>
    <t>src/app/offline/page.tsx; src/app/courses/strategy/mobile-hole-strategy.tsx; src/app/quick-bag/mobile-quick-bag.tsx</t>
  </si>
  <si>
    <t>P87-C04</t>
  </si>
  <si>
    <t>Offline live-round draft</t>
  </si>
  <si>
    <t>Closing/reopening offline restores saved draft data where supported; no silent loss on reconnect.</t>
  </si>
  <si>
    <t>src/app/offline/page.tsx; src/app/rounds/mobile-live-round.tsx</t>
  </si>
  <si>
    <t>P87-C05</t>
  </si>
  <si>
    <t>Offline navigation and reconnect</t>
  </si>
  <si>
    <t>Navigation never sends the user into an unexplained blank screen.</t>
  </si>
  <si>
    <t>src/app/offline/page.tsx; src/app/offline/offline-navigation.tsx</t>
  </si>
  <si>
    <t>P88-C01</t>
  </si>
  <si>
    <t>/share/[token]</t>
  </si>
  <si>
    <t>Shared round identity and scope</t>
  </si>
  <si>
    <t>Both surfaces reuse full public scorecard, named owner/date/current limited scope, recorded partial counts/totals, row headers and pinned identity. Differential hidden unless valid complete9/18card; calculation unchanged. Dedicated safe404/loading/error recovery. shared-round-browser.log1PASS6.5s all12 surface/viewports,18rows/manualputts/fullrounddetails/read-only/noindex/nooverflow/noerrors; revocation removes data. Types/lint pass.</t>
  </si>
  <si>
    <t>Same complete labelled horizontal scorecard with pinned hole identity and all existing allowed fields, full round details and public navigation.390/360/1023 checked on both surfaces;390 screenshot inspected. No private-app controls.</t>
  </si>
  <si>
    <t>Backend DTO still calculates differential for partial cards; presentation suppression is not service fix (shared-round-partial.test.ts documented intentional failure). Full complete/empty/malformed/service-error browser matrix, keyboard table scroll, screen reader/native zoom/themes/physical touch outstanding. Access backend test separately verifies expired/revoked/wrong owner. Paid advanced examples unavailable; local semantic alternatives.</t>
  </si>
  <si>
    <t>Only the token-authorised frozen/current scope supported by the existing link is exposed.</t>
  </si>
  <si>
    <t>src/app/share/[token]/page.tsx; src/app/share/[token]/shared-round-workbench.tsx; src/app/share/[token]/shared-round-companion.tsx</t>
  </si>
  <si>
    <t>P88-C02</t>
  </si>
  <si>
    <t>Shared scorecard and round details</t>
  </si>
  <si>
    <t>Totals reconcile and no edit/delete controls appear for public visitors.</t>
  </si>
  <si>
    <t>P88-C03</t>
  </si>
  <si>
    <t>Expired, revoked or missing shared round</t>
  </si>
  <si>
    <t>Invalid tokens never bypass server validation.</t>
  </si>
  <si>
    <t>P89-C01</t>
  </si>
  <si>
    <t>/share/course-twin/[token]</t>
  </si>
  <si>
    <t>Shared twin identity and access scope</t>
  </si>
  <si>
    <t>Shared Twin visible compact title/scope/public exit, canonical readOnly replay renderer preserved; noindex metadata and separate unavailable/loading/service-error boundaries. shared-twin-browser-final.log1PASS2.1s six sizes canonical2D fallback/hole selection/no private mutations/no overflow/errors. Page handoff2unitPASS; types/lint clean.</t>
  </si>
  <si>
    <t>Normal-flow title and limited public scope remain visible above usable runtime;390/360/1023 fallback Previous/selectedhole/exit checked,390 screenshot reviewed. Existing geometry/reconstructed-flight labels and full touch controls preserved.</t>
  </si>
  <si>
    <t>Actual shared app route visual run, measured-shot replay and liveWebGL/context-loss/3D toggle/device/reduced-motion matrix, screen-reader/native zoom/themes outstanding. Isolated scene intentionally stubbed; real canonical2D controls used. Token backend regression1PASS validates revoked/expired/foreignowner/wrongtype rejected before manifest/replay loading. Paid advanced examples unavailable; local accessible shell.</t>
  </si>
  <si>
    <t>Token permissions remain enforced and private runtime controls are absent.</t>
  </si>
  <si>
    <t>src/app/share/course-twin/[token]/page.tsx; src/app/play/[courseId]/course-twin-runtime.tsx</t>
  </si>
  <si>
    <t>P89-C02</t>
  </si>
  <si>
    <t>Shared 3D/2D runtime</t>
  </si>
  <si>
    <t>No private shot or round data outside the share scope enters the scene or detail panels.</t>
  </si>
  <si>
    <t>src/app/share/course-twin/[token]/page.tsx; src/app/play/[courseId]/course-twin-runtime.tsx; src/app/play/[courseId]/course-twin-scene.tsx</t>
  </si>
  <si>
    <t>P89-C03</t>
  </si>
  <si>
    <t>Unavailable link and runtime recovery</t>
  </si>
  <si>
    <t>Retry never circumvents token validation.</t>
  </si>
  <si>
    <t>src/app/share/course-twin/[token]/page.tsx; src/app/play/[courseId]/course-twin-comms.tsx</t>
  </si>
  <si>
    <t>P90-C01</t>
  </si>
  <si>
    <t>/share/report/[token]</t>
  </si>
  <si>
    <t>Password-protected report gate</t>
  </si>
  <si>
    <t>Unified full frozen report sections with selected scope/date, full-width layout, labelled scrollable pinned-identity evidence tables including units and raw quality. Stateful password retry retains input, show/hide, pending/inlineerrors, server validation/cookie retained. Dedicated404/error/loading/publicreturn. shared-report-browser-ready.log1PASS16.5s all12 surfaces/viewports actual synthetic report: no evidence before access, wrong-password retained, correct unlock, selected sections only, revocation hides data. Types/lint clean.</t>
  </si>
  <si>
    <t>Same complete report evidence and accessible table regions on390/360/1023 both surfaces, natural wrapping/public navigation; password44pxcontrols and successful recovery same browser pass.390 report screenshot inspected. No summary substitute.</t>
  </si>
  <si>
    <t>All12 optional evidence-section combinations, native software keyboard/safe-area/screen-reader/zoom/theme/fullservice-error states outstanding. Existing report/page.tsx concurrent view-history change remains unstaged and unclaimed in this UI commit. Action6unitPASS plus realDB access1PASS and history2PASS separately; mock cookies not physical-browser proof. Paid advanced examples unavailable; local accessible alternative.</t>
  </si>
  <si>
    <t>Password and token validation remain server-side; no report data appears before access is granted.</t>
  </si>
  <si>
    <t>src/app/share/report/[token]/page.tsx; src/app/share/report/[token]/shared-coach-report-workbench.tsx; src/app/share/report/[token]/shared-coach-report-companion.tsx; src/app/share/report/[token]/shared-coach-report-password-form.tsx</t>
  </si>
  <si>
    <t>P90-C02</t>
  </si>
  <si>
    <t>Report identity, scope and evidence</t>
  </si>
  <si>
    <t>The report shows only selected report data; private coach notes and later unrelated data remain excluded.</t>
  </si>
  <si>
    <t>src/app/share/report/[token]/page.tsx</t>
  </si>
  <si>
    <t>P90-C03</t>
  </si>
  <si>
    <t>Revoked, expired and unavailable report</t>
  </si>
  <si>
    <t>Revocation/expiry cannot be bypassed through a alternate component or client-rendered cache.</t>
  </si>
  <si>
    <t>src/app/share/report/[token]/page.tsx; src/app/share/report/[token]/shared-coach-report-workbench.tsx; src/app/share/report/[token]/shared-coach-report-companion.tsx</t>
  </si>
  <si>
    <t>P91-C01</t>
  </si>
  <si>
    <t>/companion/handoff</t>
  </si>
  <si>
    <t>Surface handoff and preserved destination</t>
  </si>
  <si>
    <t>Legacy handoff promotes documented direct companion routes via normalized local destination +both actual proxy capability predicates; unsupported requests show full-width honest fallback and useful tasks. Unit3PASS covers external/internal loops/unknown descendants/repeated filters/hash. Browser all6 layout,exact full-sitehref,canonicalProgress redirect and query/hash assertions pass; overall browser test fails on Next Performance.measure negative timestamp. Types/lint pass.</t>
  </si>
  <si>
    <t>Full visible handoff at390/360/1023, large wrapped primary/alternative actions and exact requested context;390capture inspected. Promoted tasks go to canonical full mobile page. No handoff treated as completion of underlying blocked workflow.</t>
  </si>
  <si>
    <t>handoff-browser-ready.log overall FAILED solely final pageerror assertion: Next CompanionHandoffPage Performance.measure negative time stamp recurred twice after successful navigation. Framework/runtime diagnosis deferred; no suppression applied. Full both-surface/role/entity/physicalkeyboard/AT/zoom/theme matrix outstanding; unsupported routes remain genuine fallback, not completed workflows.</t>
  </si>
  <si>
    <t>Switching surfaces preserves next, compareClub, compareMeasure and other valid query context without redirect loops.</t>
  </si>
  <si>
    <t>src/app/(app)/companion/handoff/page.tsx; src/components/app/app-surface-link.tsx</t>
  </si>
  <si>
    <t>P91-C02</t>
  </si>
  <si>
    <t>Useful fallback actions</t>
  </si>
  <si>
    <t>No unavailable route is silently omitted from the completion tracker.</t>
  </si>
  <si>
    <t>src/app/(app)/companion/handoff/page.tsx</t>
  </si>
  <si>
    <t>P92-C01</t>
  </si>
  <si>
    <t>/companion/summary</t>
  </si>
  <si>
    <t>Route-specific summary and next action</t>
  </si>
  <si>
    <t>Known promoted routes use shared safe canonical redirect; remaining summaries now full-width with single heading/action, exact requested query context, semantic current evidence and explicit deeper-workflow limitation. Driver detail only for requested driver context. summary-browser.log1PASS20.8s all12surface/viewports empty summary, retained full-workspacehref, no unrelated driver/nooverflow/errors; types/lint clean. Screenshot regression fixed: primary Link now receives Button props directly. summary-browser-final.log1PASS11.9s all12 and44pxprimarytarget.</t>
  </si>
  <si>
    <t>Same full summary rows/context/primary/return actions at390/360/1023 on both surfaces;390 screenshot inspected. Actual implemented routes bypass legacy summary; fallback does not claim underlying mobile task completion. Same final11.9s run verifies primary link44px after wrapper styling regression fixed.</t>
  </si>
  <si>
    <t>Populated summaries/driver disclosure/native keyboard/AT/zoom/theme/service-error combinations outstanding. Shared redirect helper3unitPASS; P91 Next redirect Performance.measure defect may affect promoted summary redirects and is not resolved here. No fallback used to mark deeper workflow fully accepted.</t>
  </si>
  <si>
    <t>Summary content and destination correspond to the original requested route and selected entity.</t>
  </si>
  <si>
    <t>src/app/(app)/companion/summary/page.tsx</t>
  </si>
  <si>
    <t>P92-C02</t>
  </si>
  <si>
    <t>Full-detail navigation and supporting context</t>
  </si>
  <si>
    <t>The summary is not used as proof that the deeper mobile workflow has been completed.</t>
  </si>
  <si>
    <t>src/app/(app)/companion/summary/page.tsx; src/components/app/app-surface-link.tsx; src/components/analysis/driver-development-panel.tsx</t>
  </si>
  <si>
    <t>P93-C01</t>
  </si>
  <si>
    <t>/courses/[courseId]/records/[recordId]</t>
  </si>
  <si>
    <t>Canonical destination and selected component</t>
  </si>
  <si>
    <t>Server alias encodes exact recordId and retains repeated query values. Companion proxy now permits alias to canonical record task. record-alias-browser.log1PASS53.3s all12surface/viewports exactnamedrecord/form/query, nooverflow/errors and no additional attempts;390reload/Back return exactcanonicalURL. Query helper2unitPASS; types clean.</t>
  </si>
  <si>
    <t>Same canonical P57 full record task reached on390/360/1023 both surfaces; P93 captures. Course segment remains alias, not separate editor; receipt/filter query retained.</t>
  </si>
  <si>
    <t>Invalid/foreign record alias browser cases, Forward, native keyboard/AT/zoom/theme matrices outstanding. Destination P57 full acceptance stillpartial. Canonicalalias adds no separate Untitled tabs or duplicate editor.</t>
  </si>
  <si>
    <t>Direct navigation, reload and Back/Forward reach the correct canonical task; invalid IDs still respect access/not-found handling.</t>
  </si>
  <si>
    <t>src/app/(app)/courses/[courseId]/records/[recordId]/page.tsx</t>
  </si>
  <si>
    <t>P94-C01</t>
  </si>
  <si>
    <t>/courses/[courseId]/tournaments</t>
  </si>
  <si>
    <t>src/app/(app)/courses/[courseId]/tournaments/page.tsx</t>
  </si>
  <si>
    <t>P95-C01</t>
  </si>
  <si>
    <t>/tournaments/[tournamentId]/leaderboard</t>
  </si>
  <si>
    <t>src/app/(app)/tournaments/[tournamentId]/leaderboard/page.tsx</t>
  </si>
  <si>
    <t>P96-C01</t>
  </si>
  <si>
    <t>/tournaments/[tournamentId]/rounds</t>
  </si>
  <si>
    <t>src/app/(app)/tournaments/[tournamentId]/rounds/page.tsx</t>
  </si>
  <si>
    <t>P97-C01</t>
  </si>
  <si>
    <t>/tournaments/[tournamentId]/rules</t>
  </si>
  <si>
    <t>src/app/(app)/tournaments/[tournamentId]/rules/page.tsx</t>
  </si>
  <si>
    <t>P98-C01</t>
  </si>
  <si>
    <t>/tournaments/[tournamentId]/submit</t>
  </si>
  <si>
    <t>src/app/(app)/tournaments/[tournamentId]/submit/page.tsx</t>
  </si>
  <si>
    <t>Page Id</t>
  </si>
  <si>
    <t>Title</t>
  </si>
  <si>
    <t>Source</t>
  </si>
  <si>
    <t>Component Count</t>
  </si>
  <si>
    <t>Component Ids</t>
  </si>
  <si>
    <t>Shared Dependencies</t>
  </si>
  <si>
    <t>Evidence Status</t>
  </si>
  <si>
    <t>Mobile Status</t>
  </si>
  <si>
    <t>Screenshots</t>
  </si>
  <si>
    <t>P01</t>
  </si>
  <si>
    <t>Progress</t>
  </si>
  <si>
    <t>10</t>
  </si>
  <si>
    <t>P01-C01; P01-C02; P01-C03; P01-C04; P01-C05; P01-C06; P01-C07; P01-C08; P01-C09; P01-C10</t>
  </si>
  <si>
    <t>G01; G02; G03; G04; G05; G06; G07; G08; G09; G10; G11; G12; G13; G14</t>
  </si>
  <si>
    <t>Live state captured + source reviewed</t>
  </si>
  <si>
    <t>Companion/summary branch source reviewed; narrow viewport visual QA outstanding</t>
  </si>
  <si>
    <t>02-progress-desktop.jpg</t>
  </si>
  <si>
    <t>P02</t>
  </si>
  <si>
    <t>Today / latest practice</t>
  </si>
  <si>
    <t>9</t>
  </si>
  <si>
    <t>P02-C01; P02-C02; P02-C03; P02-C04; P02-C05; P02-C06; P02-C07; P02-C08; P02-C09</t>
  </si>
  <si>
    <t>03-today-desktop.jpg; m01-today-companion.jpg</t>
  </si>
  <si>
    <t>P03</t>
  </si>
  <si>
    <t>Dashboard</t>
  </si>
  <si>
    <t>7</t>
  </si>
  <si>
    <t>P03-C01; P03-C02; P03-C03; P03-C04; P03-C05; P03-C06; P03-C07</t>
  </si>
  <si>
    <t>Explicit desktop-only capability: mobile task must be implemented</t>
  </si>
  <si>
    <t>04-dashboard-desktop.jpg</t>
  </si>
  <si>
    <t>P04</t>
  </si>
  <si>
    <t>Session history</t>
  </si>
  <si>
    <t>src/app/(app)/sessions/page.tsx</t>
  </si>
  <si>
    <t>5</t>
  </si>
  <si>
    <t>P04-C01; P04-C02; P04-C03; P04-C04; P04-C05</t>
  </si>
  <si>
    <t>05-sessions-desktop.jpg</t>
  </si>
  <si>
    <t>P05</t>
  </si>
  <si>
    <t>Session review</t>
  </si>
  <si>
    <t>P05-C01; P05-C02; P05-C03; P05-C04; P05-C05; P05-C06; P05-C07</t>
  </si>
  <si>
    <t>60-detail-0-desktop.jpg</t>
  </si>
  <si>
    <t>P06</t>
  </si>
  <si>
    <t>Shot Explorer</t>
  </si>
  <si>
    <t>P06-C01; P06-C02; P06-C03; P06-C04; P06-C05</t>
  </si>
  <si>
    <t>10-shots-desktop.jpg</t>
  </si>
  <si>
    <t>P07</t>
  </si>
  <si>
    <t>Automatic shot review</t>
  </si>
  <si>
    <t>src/app/(app)/shots/review/page.tsx</t>
  </si>
  <si>
    <t>3</t>
  </si>
  <si>
    <t>P07-C01; P07-C02; P07-C03</t>
  </si>
  <si>
    <t>82-runtime-6-desktop.jpg</t>
  </si>
  <si>
    <t>P08</t>
  </si>
  <si>
    <t>Bag</t>
  </si>
  <si>
    <t>16</t>
  </si>
  <si>
    <t>P08-C01; P08-C02; P08-C03; P08-C04; P08-C05; P08-C06; P08-C07; P08-C08; P08-C09; P08-C10; P08-C11; P08-C12; P08-C13; P08-C14; P08-C15; P08-C16</t>
  </si>
  <si>
    <t>06-bag-desktop.jpg</t>
  </si>
  <si>
    <t>P09</t>
  </si>
  <si>
    <t>Club detail</t>
  </si>
  <si>
    <t>src/app/(app)/bag/[clubId]/page.tsx</t>
  </si>
  <si>
    <t>6</t>
  </si>
  <si>
    <t>P09-C01; P09-C02; P09-C03; P09-C04; P09-C05; P09-C06</t>
  </si>
  <si>
    <t>62-detail-2-desktop.jpg</t>
  </si>
  <si>
    <t>P10</t>
  </si>
  <si>
    <t>Advanced club analytics</t>
  </si>
  <si>
    <t>P10-C01; P10-C02; P10-C03; P10-C04; P10-C05; P10-C06; P10-C07; P10-C08; P10-C09</t>
  </si>
  <si>
    <t>63-detail-3-desktop.jpg</t>
  </si>
  <si>
    <t>P11</t>
  </si>
  <si>
    <t>Longest shots</t>
  </si>
  <si>
    <t>P11-C01; P11-C02; P11-C03</t>
  </si>
  <si>
    <t>59-bag-longest-desktop.jpg</t>
  </si>
  <si>
    <t>P12</t>
  </si>
  <si>
    <t>Quick Bag</t>
  </si>
  <si>
    <t>src/app/(app)/quick-bag/page.tsx</t>
  </si>
  <si>
    <t>4</t>
  </si>
  <si>
    <t>P12-C01; P12-C02; P12-C03; P12-C04</t>
  </si>
  <si>
    <t>25-quick-bag-desktop.jpg</t>
  </si>
  <si>
    <t>P13</t>
  </si>
  <si>
    <t>Equipment setup</t>
  </si>
  <si>
    <t>P13-C01; P13-C02; P13-C03; P13-C04; P13-C05; P13-C06; P13-C07; P13-C08; P13-C09</t>
  </si>
  <si>
    <t>23-equipment-desktop.jpg</t>
  </si>
  <si>
    <t>P14</t>
  </si>
  <si>
    <t>Equipment Experiment Lab</t>
  </si>
  <si>
    <t>P14-C01; P14-C02; P14-C03; P14-C04</t>
  </si>
  <si>
    <t>24-equipment-experiments-desktop.jpg</t>
  </si>
  <si>
    <t>P15</t>
  </si>
  <si>
    <t>Practice Planner</t>
  </si>
  <si>
    <t>src/app/(app)/practice/page.tsx</t>
  </si>
  <si>
    <t>8</t>
  </si>
  <si>
    <t>P15-C01; P15-C02; P15-C03; P15-C04; P15-C05; P15-C06; P15-C07; P15-C08</t>
  </si>
  <si>
    <t>07-practice-desktop.jpg</t>
  </si>
  <si>
    <t>P16</t>
  </si>
  <si>
    <t>Quick Range</t>
  </si>
  <si>
    <t>src/app/(app)/practice/quick-range/page.tsx</t>
  </si>
  <si>
    <t>P16-C01; P16-C02; P16-C03</t>
  </si>
  <si>
    <t>67-detail-7-desktop.jpg</t>
  </si>
  <si>
    <t>P17</t>
  </si>
  <si>
    <t>Coach</t>
  </si>
  <si>
    <t>P17-C01; P17-C02; P17-C03; P17-C04; P17-C05; P17-C06</t>
  </si>
  <si>
    <t>Summary capability: verify and implement full specified tasks</t>
  </si>
  <si>
    <t>08-coach-desktop.jpg</t>
  </si>
  <si>
    <t>P18</t>
  </si>
  <si>
    <t>Club Improvement Centre</t>
  </si>
  <si>
    <t>P18-C01; P18-C02; P18-C03</t>
  </si>
  <si>
    <t>46-coach-diagnosis-desktop.jpg</t>
  </si>
  <si>
    <t>P19</t>
  </si>
  <si>
    <t>Coach reports</t>
  </si>
  <si>
    <t>P19-C01; P19-C02; P19-C03</t>
  </si>
  <si>
    <t>47-coach-reports-desktop.jpg</t>
  </si>
  <si>
    <t>P20</t>
  </si>
  <si>
    <t>Coach workspace</t>
  </si>
  <si>
    <t>P20-C01; P20-C02; P20-C03; P20-C04</t>
  </si>
  <si>
    <t>48-coach-workspace-desktop.jpg</t>
  </si>
  <si>
    <t>P21</t>
  </si>
  <si>
    <t>Data Chat</t>
  </si>
  <si>
    <t>P21-C01; P21-C02; P21-C03; P21-C04</t>
  </si>
  <si>
    <t>49-data-chat-desktop.jpg</t>
  </si>
  <si>
    <t>P22</t>
  </si>
  <si>
    <t>Analysis hub</t>
  </si>
  <si>
    <t>P22-C01; P22-C02; P22-C03; P22-C04; P22-C05</t>
  </si>
  <si>
    <t>12-analyse-desktop.jpg</t>
  </si>
  <si>
    <t>P23</t>
  </si>
  <si>
    <t>Compare sessions</t>
  </si>
  <si>
    <t>src/app/(app)/analyse/compare/page.tsx</t>
  </si>
  <si>
    <t>P23-C01; P23-C02; P23-C03; P23-C04; P23-C05</t>
  </si>
  <si>
    <t>13-analyse-compare-desktop.jpg</t>
  </si>
  <si>
    <t>P24</t>
  </si>
  <si>
    <t>Conditions analysis</t>
  </si>
  <si>
    <t>src/app/(app)/analyse/conditions/page.tsx</t>
  </si>
  <si>
    <t>P24-C01; P24-C02; P24-C03; P24-C04</t>
  </si>
  <si>
    <t>14-analyse-conditions-desktop.jpg</t>
  </si>
  <si>
    <t>P25</t>
  </si>
  <si>
    <t>Session impact</t>
  </si>
  <si>
    <t>src/app/(app)/analyse/session-impact/page.tsx</t>
  </si>
  <si>
    <t>P25-C01; P25-C02; P25-C03; P25-C04</t>
  </si>
  <si>
    <t>15-analyse-session-impact-desktop.jpg</t>
  </si>
  <si>
    <t>P26</t>
  </si>
  <si>
    <t>Analysis workspace</t>
  </si>
  <si>
    <t>P26-C01; P26-C02; P26-C03; P26-C04</t>
  </si>
  <si>
    <t>16-analyse-workspace-desktop.jpg</t>
  </si>
  <si>
    <t>P27</t>
  </si>
  <si>
    <t>Comparison workspace</t>
  </si>
  <si>
    <t>src/app/(app)/compare/page.tsx</t>
  </si>
  <si>
    <t>P27-C01; P27-C02; P27-C03; P27-C04; P27-C05; P27-C06</t>
  </si>
  <si>
    <t>17-compare-desktop.jpg</t>
  </si>
  <si>
    <t>P28</t>
  </si>
  <si>
    <t>Strokes gained</t>
  </si>
  <si>
    <t>P28-C01; P28-C02; P28-C03; P28-C04; P28-C05; P28-C06; P28-C07</t>
  </si>
  <si>
    <t>18-strokes-gained-desktop.jpg</t>
  </si>
  <si>
    <t>P29</t>
  </si>
  <si>
    <t>Performance Lab</t>
  </si>
  <si>
    <t>P29-C01; P29-C02; P29-C03; P29-C04; P29-C05; P29-C06; P29-C07; P29-C08; P29-C09</t>
  </si>
  <si>
    <t>19-simulator-lab-desktop.jpg</t>
  </si>
  <si>
    <t>P30</t>
  </si>
  <si>
    <t>Speed Centre</t>
  </si>
  <si>
    <t>P30-C01; P30-C02; P30-C03; P30-C04; P30-C05; P30-C06; P30-C07; P30-C08; P30-C09</t>
  </si>
  <si>
    <t>09-speed-desktop.jpg</t>
  </si>
  <si>
    <t>P31</t>
  </si>
  <si>
    <t>Speed session</t>
  </si>
  <si>
    <t>P31-C01; P31-C02; P31-C03; P31-C04; P31-C05; P31-C06</t>
  </si>
  <si>
    <t>64-detail-4-desktop.jpg</t>
  </si>
  <si>
    <t>P32</t>
  </si>
  <si>
    <t>Training Load</t>
  </si>
  <si>
    <t>P32-C01; P32-C02; P32-C03; P32-C04; P32-C05; P32-C06</t>
  </si>
  <si>
    <t>22-stats-training-over-time-desktop.jpg</t>
  </si>
  <si>
    <t>P33</t>
  </si>
  <si>
    <t>Goals and season plan</t>
  </si>
  <si>
    <t>P33-C01; P33-C02; P33-C03; P33-C04; P33-C05; P33-C06</t>
  </si>
  <si>
    <t>21-goals-desktop.jpg</t>
  </si>
  <si>
    <t>P34</t>
  </si>
  <si>
    <t>Handicap estimates</t>
  </si>
  <si>
    <t>P34-C01; P34-C02; P34-C03; P34-C04; P34-C05</t>
  </si>
  <si>
    <t>20-handicap-desktop.jpg</t>
  </si>
  <si>
    <t>P35</t>
  </si>
  <si>
    <t>Import</t>
  </si>
  <si>
    <t>src/app/(app)/import/page.tsx</t>
  </si>
  <si>
    <t>P35-C01; P35-C02; P35-C03; P35-C04; P35-C05; P35-C06; P35-C07; P35-C08; P35-C09; P35-C10</t>
  </si>
  <si>
    <t>26-import-desktop.jpg</t>
  </si>
  <si>
    <t>P36</t>
  </si>
  <si>
    <t>Import result</t>
  </si>
  <si>
    <t>P36-C01; P36-C02; P36-C03; P36-C04</t>
  </si>
  <si>
    <t>77-runtime-1-desktop.jpg</t>
  </si>
  <si>
    <t>P37</t>
  </si>
  <si>
    <t>Rapsodo cloud sync</t>
  </si>
  <si>
    <t>src/app/(app)/rapsodo/page.tsx</t>
  </si>
  <si>
    <t>P37-C01; P37-C02; P37-C03; P37-C04</t>
  </si>
  <si>
    <t>45-rapsodo-desktop.jpg</t>
  </si>
  <si>
    <t>P38</t>
  </si>
  <si>
    <t>Launch-monitor providers</t>
  </si>
  <si>
    <t>P38-C01; P38-C02; P38-C03; P38-C04</t>
  </si>
  <si>
    <t>27-providers-desktop.jpg</t>
  </si>
  <si>
    <t>P39</t>
  </si>
  <si>
    <t>Companion import entry</t>
  </si>
  <si>
    <t>src/app/(app)/companion-runtime/import/page.tsx</t>
  </si>
  <si>
    <t>2</t>
  </si>
  <si>
    <t>P39-C01; P39-C02</t>
  </si>
  <si>
    <t>Runtime DOM/source reviewed; captured wide state is hidden or guarded</t>
  </si>
  <si>
    <t>Dedicated companion route; wide content hidden in captured runtime views</t>
  </si>
  <si>
    <t>78-runtime-2-desktop.jpg</t>
  </si>
  <si>
    <t>P40</t>
  </si>
  <si>
    <t>Companion CSV import</t>
  </si>
  <si>
    <t>src/app/(app)/companion-runtime/import/csv/page.tsx</t>
  </si>
  <si>
    <t>P40-C01; P40-C02; P40-C03</t>
  </si>
  <si>
    <t>79-runtime-3-desktop.jpg</t>
  </si>
  <si>
    <t>P41</t>
  </si>
  <si>
    <t>Companion import result</t>
  </si>
  <si>
    <t>P41-C01; P41-C02</t>
  </si>
  <si>
    <t>80-runtime-4-desktop.jpg</t>
  </si>
  <si>
    <t>P42</t>
  </si>
  <si>
    <t>Companion R-Cloud</t>
  </si>
  <si>
    <t>src/app/(app)/companion-runtime/rapsodo/page.tsx</t>
  </si>
  <si>
    <t>P42-C01; P42-C02; P42-C03</t>
  </si>
  <si>
    <t>81-runtime-5-desktop.jpg</t>
  </si>
  <si>
    <t>P43</t>
  </si>
  <si>
    <t>Rounds</t>
  </si>
  <si>
    <t>src/app/(app)/rounds/page.tsx</t>
  </si>
  <si>
    <t>P43-C01; P43-C02; P43-C03; P43-C04</t>
  </si>
  <si>
    <t>11-rounds-desktop.jpg</t>
  </si>
  <si>
    <t>P44</t>
  </si>
  <si>
    <t>Add round</t>
  </si>
  <si>
    <t>src/app/(app)/rounds/new/page.tsx</t>
  </si>
  <si>
    <t>P44-C01; P44-C02; P44-C03</t>
  </si>
  <si>
    <t>58-rounds-new-desktop.jpg</t>
  </si>
  <si>
    <t>P45</t>
  </si>
  <si>
    <t>Round review and live scoring</t>
  </si>
  <si>
    <t>P45-C01; P45-C02; P45-C03; P45-C04; P45-C05; P45-C06; P45-C07; P45-C08; P45-C09</t>
  </si>
  <si>
    <t>61-detail-1-desktop.jpg</t>
  </si>
  <si>
    <t>P46</t>
  </si>
  <si>
    <t>Course library</t>
  </si>
  <si>
    <t>src/app/(app)/courses/page.tsx</t>
  </si>
  <si>
    <t>P46-C01; P46-C02; P46-C03</t>
  </si>
  <si>
    <t>28-courses-desktop.jpg</t>
  </si>
  <si>
    <t>P47</t>
  </si>
  <si>
    <t>Create or import course</t>
  </si>
  <si>
    <t>P47-C01; P47-C02; P47-C03; P47-C04</t>
  </si>
  <si>
    <t>29-courses-new-desktop.jpg</t>
  </si>
  <si>
    <t>P48</t>
  </si>
  <si>
    <t>Course detail</t>
  </si>
  <si>
    <t>P48-C01; P48-C02; P48-C03; P48-C04; P48-C05</t>
  </si>
  <si>
    <t>65-detail-5-desktop.jpg</t>
  </si>
  <si>
    <t>P49</t>
  </si>
  <si>
    <t>Course editor and reference</t>
  </si>
  <si>
    <t>P49-C01; P49-C02; P49-C03; P49-C04; P49-C05; P49-C06; P49-C07</t>
  </si>
  <si>
    <t>71-detail-3-desktop.jpg</t>
  </si>
  <si>
    <t>P50</t>
  </si>
  <si>
    <t>Course shot-pattern planner</t>
  </si>
  <si>
    <t>P50-C01; P50-C02; P50-C03; P50-C04</t>
  </si>
  <si>
    <t>73-detail-5-desktop.jpg</t>
  </si>
  <si>
    <t>P51</t>
  </si>
  <si>
    <t>Course strategy</t>
  </si>
  <si>
    <t>P51-C01; P51-C02; P51-C03; P51-C04; P51-C05</t>
  </si>
  <si>
    <t>30-courses-strategy-desktop.jpg</t>
  </si>
  <si>
    <t>P52</t>
  </si>
  <si>
    <t>Course Twin catalogue</t>
  </si>
  <si>
    <t>src/app/(app)/course-twins/page.tsx</t>
  </si>
  <si>
    <t>P52-C01; P52-C02</t>
  </si>
  <si>
    <t>31-course-twins-desktop.jpg</t>
  </si>
  <si>
    <t>P53</t>
  </si>
  <si>
    <t>Play and pre-round setup</t>
  </si>
  <si>
    <t>P53-C01; P53-C02; P53-C03; P53-C04; P53-C05</t>
  </si>
  <si>
    <t>32-play-desktop.jpg</t>
  </si>
  <si>
    <t>P54</t>
  </si>
  <si>
    <t>Immersive Course Twin</t>
  </si>
  <si>
    <t>src/app/(app)/play/[courseId]/page.tsx</t>
  </si>
  <si>
    <t>P54-C01; P54-C02; P54-C03; P54-C04</t>
  </si>
  <si>
    <t>76-runtime-0-desktop.jpg</t>
  </si>
  <si>
    <t>P55</t>
  </si>
  <si>
    <t>Course record boards</t>
  </si>
  <si>
    <t>P55-C01; P55-C02; P55-C03</t>
  </si>
  <si>
    <t>33-course-records-desktop.jpg</t>
  </si>
  <si>
    <t>P56</t>
  </si>
  <si>
    <t>Records at a course</t>
  </si>
  <si>
    <t>P56-C01; P56-C02; P56-C03</t>
  </si>
  <si>
    <t>72-detail-4-desktop.jpg</t>
  </si>
  <si>
    <t>P57</t>
  </si>
  <si>
    <t>Course record detail</t>
  </si>
  <si>
    <t>P57-C01; P57-C02; P57-C03; P57-C04; P57-C05</t>
  </si>
  <si>
    <t>85-record-detail-desktop.jpg</t>
  </si>
  <si>
    <t>P58</t>
  </si>
  <si>
    <t>Challenges</t>
  </si>
  <si>
    <t>P58-C01; P58-C02; P58-C03; P58-C04; P58-C05; P58-C06</t>
  </si>
  <si>
    <t>34-challenges-desktop.jpg</t>
  </si>
  <si>
    <t>P59</t>
  </si>
  <si>
    <t>Challenge detail</t>
  </si>
  <si>
    <t>P59-C01; P59-C02; P59-C03; P59-C04; P59-C05; P59-C06; P59-C07</t>
  </si>
  <si>
    <t>84-challenge-detail-desktop.jpg</t>
  </si>
  <si>
    <t>P60</t>
  </si>
  <si>
    <t>Tournaments</t>
  </si>
  <si>
    <t>P60-C01; P60-C02; P60-C03</t>
  </si>
  <si>
    <t>35-tournaments-desktop.jpg</t>
  </si>
  <si>
    <t>P61</t>
  </si>
  <si>
    <t>Tournament detail</t>
  </si>
  <si>
    <t>P61-C01; P61-C02; P61-C03; P61-C04; P61-C05; P61-C06; P61-C07; P61-C08</t>
  </si>
  <si>
    <t>69-detail-1-desktop.jpg</t>
  </si>
  <si>
    <t>P62</t>
  </si>
  <si>
    <t>Leaderboards</t>
  </si>
  <si>
    <t>P62-C01; P62-C02; P62-C03; P62-C04; P62-C05</t>
  </si>
  <si>
    <t>36-leaderboard-desktop.jpg</t>
  </si>
  <si>
    <t>P63</t>
  </si>
  <si>
    <t>Achievements</t>
  </si>
  <si>
    <t>P63-C01; P63-C02; P63-C03; P63-C04; P63-C05; P63-C06</t>
  </si>
  <si>
    <t>37-achievements-desktop.jpg</t>
  </si>
  <si>
    <t>P64</t>
  </si>
  <si>
    <t>Friends</t>
  </si>
  <si>
    <t>P64-C01; P64-C02; P64-C03; P64-C04</t>
  </si>
  <si>
    <t>39-friends-desktop.jpg</t>
  </si>
  <si>
    <t>P65</t>
  </si>
  <si>
    <t>Groups</t>
  </si>
  <si>
    <t>P65-C01; P65-C02; P65-C03; P65-C04</t>
  </si>
  <si>
    <t>40-groups-desktop.jpg</t>
  </si>
  <si>
    <t>P66</t>
  </si>
  <si>
    <t>Group clubhouse</t>
  </si>
  <si>
    <t>P66-C01; P66-C02; P66-C03; P66-C04; P66-C05; P66-C06</t>
  </si>
  <si>
    <t>68-detail-0-desktop.jpg</t>
  </si>
  <si>
    <t>P67</t>
  </si>
  <si>
    <t>Clubhouse feed</t>
  </si>
  <si>
    <t>P67-C01; P67-C02; P67-C03; P67-C04</t>
  </si>
  <si>
    <t>41-feed-desktop.jpg</t>
  </si>
  <si>
    <t>P68</t>
  </si>
  <si>
    <t>Recaps and safety</t>
  </si>
  <si>
    <t>P68-C01; P68-C02; P68-C03; P68-C04</t>
  </si>
  <si>
    <t>50-social-intelligence-desktop.jpg</t>
  </si>
  <si>
    <t>P69</t>
  </si>
  <si>
    <t>Your profile</t>
  </si>
  <si>
    <t>P69-C01; P69-C02; P69-C03; P69-C04; P69-C05; P69-C06; P69-C07; P69-C08; P69-C09</t>
  </si>
  <si>
    <t>38-profile-desktop.jpg</t>
  </si>
  <si>
    <t>P70</t>
  </si>
  <si>
    <t>Social profile</t>
  </si>
  <si>
    <t>P70-C01; P70-C02; P70-C03; P70-C04</t>
  </si>
  <si>
    <t>70-detail-2-desktop.jpg</t>
  </si>
  <si>
    <t>P71</t>
  </si>
  <si>
    <t>Settings</t>
  </si>
  <si>
    <t>14</t>
  </si>
  <si>
    <t>P71-C01; P71-C02; P71-C03; P71-C04; P71-C05; P71-C06; P71-C07; P71-C08; P71-C09; P71-C10; P71-C11; P71-C12; P71-C13; P71-C14</t>
  </si>
  <si>
    <t>42-settings-desktop.jpg</t>
  </si>
  <si>
    <t>P72</t>
  </si>
  <si>
    <t>Notification preferences</t>
  </si>
  <si>
    <t>src/app/(app)/settings/notifications/page.tsx</t>
  </si>
  <si>
    <t>P72-C01; P72-C02; P72-C03</t>
  </si>
  <si>
    <t>44-settings-notifications-desktop.jpg</t>
  </si>
  <si>
    <t>P73</t>
  </si>
  <si>
    <t>Accept account invitation</t>
  </si>
  <si>
    <t>src/app/(app)/settings/invitations/[token]/page.tsx</t>
  </si>
  <si>
    <t>P73-C01; P73-C02</t>
  </si>
  <si>
    <t>Source reviewed; token/special state not exercised live</t>
  </si>
  <si>
    <t>P74</t>
  </si>
  <si>
    <t>Shared account overview</t>
  </si>
  <si>
    <t>src/app/(app)/shared/[userId]/page.tsx</t>
  </si>
  <si>
    <t>P74-C01; P74-C02; P74-C03</t>
  </si>
  <si>
    <t>P75</t>
  </si>
  <si>
    <t>Plan and billing</t>
  </si>
  <si>
    <t>P75-C01; P75-C02; P75-C03; P75-C04; P75-C05; P75-C06</t>
  </si>
  <si>
    <t>43-billing-desktop.jpg</t>
  </si>
  <si>
    <t>P76</t>
  </si>
  <si>
    <t>Operations console</t>
  </si>
  <si>
    <t>src/app/(admin)/admin/page.tsx</t>
  </si>
  <si>
    <t>P76-C01; P76-C02; P76-C03; P76-C04; P76-C05</t>
  </si>
  <si>
    <t>52-admin-desktop.jpg</t>
  </si>
  <si>
    <t>P77</t>
  </si>
  <si>
    <t>Account management</t>
  </si>
  <si>
    <t>src/app/(admin)/admin/users/page.tsx</t>
  </si>
  <si>
    <t>P77-C01; P77-C02; P77-C03; P77-C04</t>
  </si>
  <si>
    <t>53-admin-users-desktop.jpg</t>
  </si>
  <si>
    <t>P78</t>
  </si>
  <si>
    <t>Moderation</t>
  </si>
  <si>
    <t>src/app/(admin)/admin/moderation/page.tsx</t>
  </si>
  <si>
    <t>P78-C01; P78-C02; P78-C03; P78-C04; P78-C05</t>
  </si>
  <si>
    <t>54-admin-moderation-desktop.jpg</t>
  </si>
  <si>
    <t>P79</t>
  </si>
  <si>
    <t>Billing and entitlements</t>
  </si>
  <si>
    <t>src/app/(admin)/admin/billing/page.tsx</t>
  </si>
  <si>
    <t>P79-C01; P79-C02; P79-C03; P79-C04</t>
  </si>
  <si>
    <t>55-admin-billing-desktop.jpg</t>
  </si>
  <si>
    <t>P80</t>
  </si>
  <si>
    <t>Challenge and tournament administration</t>
  </si>
  <si>
    <t>src/app/(admin)/admin/challenges/page.tsx</t>
  </si>
  <si>
    <t>P80-C01; P80-C02; P80-C03; P80-C04</t>
  </si>
  <si>
    <t>56-admin-challenges-desktop.jpg</t>
  </si>
  <si>
    <t>P81</t>
  </si>
  <si>
    <t>System checks</t>
  </si>
  <si>
    <t>P81-C01; P81-C02; P81-C03; P81-C04</t>
  </si>
  <si>
    <t>57-admin-system-checks-desktop.jpg</t>
  </si>
  <si>
    <t>P82</t>
  </si>
  <si>
    <t>Sponsors and partner offers</t>
  </si>
  <si>
    <t>P82-C01; P82-C02; P82-C03; P82-C04; P82-C05</t>
  </si>
  <si>
    <t>51-partners-desktop.jpg</t>
  </si>
  <si>
    <t>P83</t>
  </si>
  <si>
    <t>Public home page</t>
  </si>
  <si>
    <t>src/app/page.tsx</t>
  </si>
  <si>
    <t>13</t>
  </si>
  <si>
    <t>P83-C01; P83-C02; P83-C03; P83-C04; P83-C05; P83-C06; P83-C07; P83-C08; P83-C09; P83-C10; P83-C11; P83-C12; P83-C13</t>
  </si>
  <si>
    <t>G01; G09; G10; G11; G12; G13; G14</t>
  </si>
  <si>
    <t>Public responsive/source branch reviewed</t>
  </si>
  <si>
    <t>74-detail-6-desktop.jpg</t>
  </si>
  <si>
    <t>P84</t>
  </si>
  <si>
    <t>Sign in or join</t>
  </si>
  <si>
    <t>src/app/login/page.tsx</t>
  </si>
  <si>
    <t>P84-C01; P84-C02; P84-C03; P84-C04</t>
  </si>
  <si>
    <t>Live authentication exercised + source reviewed; no retained screenshot</t>
  </si>
  <si>
    <t>P85</t>
  </si>
  <si>
    <t>First-run onboarding</t>
  </si>
  <si>
    <t>src/app/(app)/welcome/page.tsx</t>
  </si>
  <si>
    <t>P85-C01; P85-C02; P85-C03</t>
  </si>
  <si>
    <t>66-detail-6-desktop.jpg</t>
  </si>
  <si>
    <t>P86</t>
  </si>
  <si>
    <t>Data notice</t>
  </si>
  <si>
    <t>src/app/privacy/page.tsx</t>
  </si>
  <si>
    <t>P86-C01; P86-C02; P86-C03</t>
  </si>
  <si>
    <t>75-detail-7-desktop.jpg</t>
  </si>
  <si>
    <t>P87</t>
  </si>
  <si>
    <t>Offline saved golf</t>
  </si>
  <si>
    <t>src/app/offline/page.tsx</t>
  </si>
  <si>
    <t>P87-C01; P87-C02; P87-C03; P87-C04; P87-C05</t>
  </si>
  <si>
    <t>Offline companion source reviewed; network/device execution not tested</t>
  </si>
  <si>
    <t>83-runtime-7-desktop.jpg</t>
  </si>
  <si>
    <t>P88</t>
  </si>
  <si>
    <t>Shared round</t>
  </si>
  <si>
    <t>src/app/share/[token]/page.tsx</t>
  </si>
  <si>
    <t>P88-C01; P88-C02; P88-C03</t>
  </si>
  <si>
    <t>P89</t>
  </si>
  <si>
    <t>Shared Course Twin</t>
  </si>
  <si>
    <t>src/app/share/course-twin/[token]/page.tsx</t>
  </si>
  <si>
    <t>P89-C01; P89-C02; P89-C03</t>
  </si>
  <si>
    <t>P90</t>
  </si>
  <si>
    <t>Shared coach report</t>
  </si>
  <si>
    <t>P90-C01; P90-C02; P90-C03</t>
  </si>
  <si>
    <t>P91</t>
  </si>
  <si>
    <t>Desktop handoff</t>
  </si>
  <si>
    <t>P91-C01; P91-C02</t>
  </si>
  <si>
    <t>P92</t>
  </si>
  <si>
    <t>Companion summary router</t>
  </si>
  <si>
    <t>P92-C01; P92-C02</t>
  </si>
  <si>
    <t>P93</t>
  </si>
  <si>
    <t>Course record redirect</t>
  </si>
  <si>
    <t>1</t>
  </si>
  <si>
    <t>Redirect contract source-reviewed</t>
  </si>
  <si>
    <t>Redirect; verify the destination mobile task</t>
  </si>
  <si>
    <t>P94</t>
  </si>
  <si>
    <t>Course tournament redirect</t>
  </si>
  <si>
    <t>P95</t>
  </si>
  <si>
    <t>Tournament standings redirect</t>
  </si>
  <si>
    <t>P96</t>
  </si>
  <si>
    <t>Tournament rounds redirect</t>
  </si>
  <si>
    <t>P97</t>
  </si>
  <si>
    <t>Tournament rules redirect</t>
  </si>
  <si>
    <t>P98</t>
  </si>
  <si>
    <t>Tournament submit redirect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</si>
</sst>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2"/>
      <color rgb="FF123D2B"/>
      <name val="Aptos"/>
      <family val="2"/>
    </font>
    <font>
      <sz val="11"/>
      <color rgb="FF59665E"/>
      <name val="Aptos"/>
      <family val="2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D2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wrapText="1"/>
    </xf>
    <xf numFmtId="0" fontId="4" fillId="0" borderId="0" xfId="0" applyFont="1" applyAlignment="1">
      <alignment vertical="top" wrapText="1"/>
    </xf>
    <xf numFmtId="1" fontId="5" fillId="0" borderId="0" xfId="0" applyNumberFormat="1" applyFont="1"/>
    <xf numFmtId="0" fontId="6" fillId="0" borderId="0" xfId="1" applyAlignment="1" applyProtection="1"/>
  </cellXfs>
  <cellStyles count="2">
    <cellStyle name="Hyperlink" xfId="1" builtinId="8"/>
    <cellStyle name="Normal" xfId="0" builtinId="0"/>
  </cellStyles>
  <dxfs count="4">
    <dxf>
      <font>
        <color rgb="FF755100"/>
      </font>
      <fill>
        <patternFill>
          <bgColor rgb="FFFFF0C2"/>
        </patternFill>
      </fill>
    </dxf>
    <dxf>
      <font>
        <color rgb="FF194D7D"/>
      </font>
      <fill>
        <patternFill>
          <bgColor rgb="FFDBEAFA"/>
        </patternFill>
      </fill>
    </dxf>
    <dxf>
      <font>
        <color rgb="FF59665E"/>
      </font>
      <fill>
        <patternFill>
          <bgColor rgb="FFEDF0EE"/>
        </patternFill>
      </fill>
    </dxf>
    <dxf>
      <font>
        <color rgb="FF175A35"/>
      </font>
      <fill>
        <patternFill>
          <bgColor rgb="FFDDF2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93" totalsRowShown="0">
  <autoFilter ref="A1:L493"/>
  <tableColumns count="12">
    <tableColumn id="1" name="Component ID"/>
    <tableColumn id="2" name="Route"/>
    <tableColumn id="3" name="Component"/>
    <tableColumn id="4" name="Priority"/>
    <tableColumn id="5" name="Desktop status"/>
    <tableColumn id="6" name="Mobile status"/>
    <tableColumn id="7" name="Desktop evidence"/>
    <tableColumn id="8" name="Mobile evidence"/>
    <tableColumn id="9" name="Blockers / outstanding checks"/>
    <tableColumn id="10" name="Acceptance"/>
    <tableColumn id="11" name="Source files"/>
    <tableColumn id="12" name="Untitled UI referenc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488" totalsRowShown="0">
  <autoFilter ref="A1:L488"/>
  <tableColumns count="12">
    <tableColumn id="1" name="Component ID"/>
    <tableColumn id="2" name="Route"/>
    <tableColumn id="3" name="Component"/>
    <tableColumn id="4" name="Priority"/>
    <tableColumn id="5" name="Desktop status"/>
    <tableColumn id="6" name="Mobile status"/>
    <tableColumn id="7" name="Desktop evidence"/>
    <tableColumn id="8" name="Mobile evidence"/>
    <tableColumn id="9" name="Blockers / outstanding checks"/>
    <tableColumn id="10" name="Acceptance"/>
    <tableColumn id="11" name="Source files"/>
    <tableColumn id="12" name="Untitled UI referenc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J99" totalsRowShown="0">
  <autoFilter ref="A1:J99"/>
  <tableColumns count="10">
    <tableColumn id="1" name="Page Id"/>
    <tableColumn id="2" name="Route"/>
    <tableColumn id="3" name="Title"/>
    <tableColumn id="4" name="Source"/>
    <tableColumn id="5" name="Component Count"/>
    <tableColumn id="6" name="Component Ids"/>
    <tableColumn id="7" name="Shared Dependencies"/>
    <tableColumn id="8" name="Evidence Status"/>
    <tableColumn id="9" name="Mobile Status"/>
    <tableColumn id="10" name="Screensho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titledui.com/react/components/page-headers;%20https://www.untitledui.com/react/components/section-headers" TargetMode="External"/><Relationship Id="rId2" Type="http://schemas.openxmlformats.org/officeDocument/2006/relationships/hyperlink" Target="https://www.untitledui.com/react/components/sidebar-navigations" TargetMode="External"/><Relationship Id="rId3" Type="http://schemas.openxmlformats.org/officeDocument/2006/relationships/hyperlink" Target="https://www.untitledui.com/react/components/command-menus" TargetMode="External"/><Relationship Id="rId4" Type="http://schemas.openxmlformats.org/officeDocument/2006/relationships/hyperlink" Target="https://www.untitledui.com/react/components/page-headers;%20https://www.untitledui.com/react/components/section-headers" TargetMode="External"/><Relationship Id="rId5" Type="http://schemas.openxmlformats.org/officeDocument/2006/relationships/hyperlink" Target="https://www.untitledui.com/react/components/avatars;%20https://www.untitledui.com/react/components/badges;%20https://www.untitledui.com/react/components/dropdowns" TargetMode="External"/><Relationship Id="rId6" Type="http://schemas.openxmlformats.org/officeDocument/2006/relationships/hyperlink" Target="https://www.untitledui.com/react/components/sidebar-navigations" TargetMode="External"/><Relationship Id="rId7" Type="http://schemas.openxmlformats.org/officeDocument/2006/relationships/hyperlink" Target="https://www.untitledui.com/react/components/drawers;%20https://www.untitledui.com/react/components/section-footers" TargetMode="External"/><Relationship Id="rId8" Type="http://schemas.openxmlformats.org/officeDocument/2006/relationships/hyperlink" Target="https://www.untitledui.com/react/components/tables;%20https://www.untitledui.com/react/components/paginations" TargetMode="External"/><Relationship Id="rId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0" Type="http://schemas.openxmlformats.org/officeDocument/2006/relationships/hyperlink" Target="https://www.untitledui.com/react/components/modals;%20https://www.untitledui.com/react/components/buttons" TargetMode="External"/><Relationship Id="rId11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12" Type="http://schemas.openxmlformats.org/officeDocument/2006/relationships/hyperlink" Target="https://www.untitledui.com/react/components/alerts;%20https://www.untitledui.com/react/components/notifications" TargetMode="External"/><Relationship Id="rId13" Type="http://schemas.openxmlformats.org/officeDocument/2006/relationships/hyperlink" Target="https://www.untitledui.com/react/components/alerts;%20https://www.untitledui.com/react/components/notifications" TargetMode="External"/><Relationship Id="rId14" Type="http://schemas.openxmlformats.org/officeDocument/2006/relationships/hyperlink" Target="https://www.untitledui.com/react/components/alerts;%20https://www.untitledui.com/react/components/notifications" TargetMode="External"/><Relationship Id="rId15" Type="http://schemas.openxmlformats.org/officeDocument/2006/relationships/hyperlink" Target="https://www.untitledui.com/react/components/page-headers;%20https://www.untitledui.com/react/components/section-headers" TargetMode="External"/><Relationship Id="rId16" Type="http://schemas.openxmlformats.org/officeDocument/2006/relationships/hyperlink" Target="https://www.untitledui.com/react/components/tabs" TargetMode="External"/><Relationship Id="rId1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8" Type="http://schemas.openxmlformats.org/officeDocument/2006/relationships/hyperlink" Target="https://www.untitledui.com/react/components/line-bar-charts" TargetMode="External"/><Relationship Id="rId19" Type="http://schemas.openxmlformats.org/officeDocument/2006/relationships/hyperlink" Target="https://www.untitledui.com/react/components/metrics;%20https://www.untitledui.com/react/components/tooltips" TargetMode="External"/><Relationship Id="rId2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2" Type="http://schemas.openxmlformats.org/officeDocument/2006/relationships/hyperlink" Target="https://www.untitledui.com/react/components/line-bar-charts" TargetMode="External"/><Relationship Id="rId23" Type="http://schemas.openxmlformats.org/officeDocument/2006/relationships/hyperlink" Target="https://www.untitledui.com/react/components/activity-feeds;%20https://www.untitledui.com/react/components/dropdowns" TargetMode="External"/><Relationship Id="rId24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5" Type="http://schemas.openxmlformats.org/officeDocument/2006/relationships/hyperlink" Target="https://www.untitledui.com/react/components/page-headers;%20https://www.untitledui.com/react/components/section-headers" TargetMode="External"/><Relationship Id="rId26" Type="http://schemas.openxmlformats.org/officeDocument/2006/relationships/hyperlink" Target="https://www.untitledui.com/react/components/metrics;%20https://www.untitledui.com/react/components/tooltips" TargetMode="External"/><Relationship Id="rId27" Type="http://schemas.openxmlformats.org/officeDocument/2006/relationships/hyperlink" Target="https://www.untitledui.com/react/components/tabs" TargetMode="External"/><Relationship Id="rId28" Type="http://schemas.openxmlformats.org/officeDocument/2006/relationships/hyperlink" Target="https://www.untitledui.com/react/components/metrics;%20https://www.untitledui.com/react/components/tooltips" TargetMode="External"/><Relationship Id="rId2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30" Type="http://schemas.openxmlformats.org/officeDocument/2006/relationships/hyperlink" Target="https://www.untitledui.com/react/components/drawers;%20https://www.untitledui.com/react/components/section-footers" TargetMode="External"/><Relationship Id="rId31" Type="http://schemas.openxmlformats.org/officeDocument/2006/relationships/hyperlink" Target="https://www.untitledui.com/react/components/tables;%20https://www.untitledui.com/react/components/paginations" TargetMode="External"/><Relationship Id="rId32" Type="http://schemas.openxmlformats.org/officeDocument/2006/relationships/hyperlink" Target="https://www.untitledui.com/react/components/alerts;%20https://www.untitledui.com/react/components/notifications" TargetMode="External"/><Relationship Id="rId3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4" Type="http://schemas.openxmlformats.org/officeDocument/2006/relationships/hyperlink" Target="https://www.untitledui.com/react/components/page-headers;%20https://www.untitledui.com/react/components/section-headers" TargetMode="External"/><Relationship Id="rId35" Type="http://schemas.openxmlformats.org/officeDocument/2006/relationships/hyperlink" Target="https://www.untitledui.com/react/components/metrics;%20https://www.untitledui.com/react/components/tooltips" TargetMode="External"/><Relationship Id="rId3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" Type="http://schemas.openxmlformats.org/officeDocument/2006/relationships/hyperlink" Target="https://www.untitledui.com/react/components/line-bar-charts" TargetMode="External"/><Relationship Id="rId3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3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0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1" Type="http://schemas.openxmlformats.org/officeDocument/2006/relationships/hyperlink" Target="https://www.untitledui.com/react/components/page-headers;%20https://www.untitledui.com/react/components/section-headers" TargetMode="External"/><Relationship Id="rId42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4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4" Type="http://schemas.openxmlformats.org/officeDocument/2006/relationships/hyperlink" Target="https://www.untitledui.com/react/components/metrics;%20https://www.untitledui.com/react/components/tooltips" TargetMode="External"/><Relationship Id="rId45" Type="http://schemas.openxmlformats.org/officeDocument/2006/relationships/hyperlink" Target="https://www.untitledui.com/react/components/tables;%20https://www.untitledui.com/react/components/paginations" TargetMode="External"/><Relationship Id="rId46" Type="http://schemas.openxmlformats.org/officeDocument/2006/relationships/hyperlink" Target="https://www.untitledui.com/react/components/page-headers;%20https://www.untitledui.com/react/components/section-headers" TargetMode="External"/><Relationship Id="rId47" Type="http://schemas.openxmlformats.org/officeDocument/2006/relationships/hyperlink" Target="https://www.untitledui.com/react/components/tables;%20https://www.untitledui.com/react/components/paginations" TargetMode="External"/><Relationship Id="rId48" Type="http://schemas.openxmlformats.org/officeDocument/2006/relationships/hyperlink" Target="https://www.untitledui.com/react/components/section-headers;%20https://www.untitledui.com/react/components/content-dividers" TargetMode="External"/><Relationship Id="rId49" Type="http://schemas.openxmlformats.org/officeDocument/2006/relationships/hyperlink" Target="https://www.untitledui.com/react/components/progress-steps;%20https://www.untitledui.com/react/components/progress-indicators" TargetMode="External"/><Relationship Id="rId5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51" Type="http://schemas.openxmlformats.org/officeDocument/2006/relationships/hyperlink" Target="https://www.untitledui.com/react/components/tables;%20https://www.untitledui.com/react/components/paginations" TargetMode="External"/><Relationship Id="rId52" Type="http://schemas.openxmlformats.org/officeDocument/2006/relationships/hyperlink" Target="https://www.untitledui.com/react/components/alerts;%20https://www.untitledui.com/react/components/notifications" TargetMode="External"/><Relationship Id="rId5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54" Type="http://schemas.openxmlformats.org/officeDocument/2006/relationships/hyperlink" Target="https://www.untitledui.com/react/components/tables;%20https://www.untitledui.com/react/components/paginations" TargetMode="External"/><Relationship Id="rId55" Type="http://schemas.openxmlformats.org/officeDocument/2006/relationships/hyperlink" Target="https://www.untitledui.com/react/components/drawers;%20https://www.untitledui.com/react/components/section-footers" TargetMode="External"/><Relationship Id="rId56" Type="http://schemas.openxmlformats.org/officeDocument/2006/relationships/hyperlink" Target="https://www.untitledui.com/react/components/modals;%20https://www.untitledui.com/react/components/buttons" TargetMode="External"/><Relationship Id="rId57" Type="http://schemas.openxmlformats.org/officeDocument/2006/relationships/hyperlink" Target="https://www.untitledui.com/react/components/tables;%20https://www.untitledui.com/react/components/paginations" TargetMode="External"/><Relationship Id="rId5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59" Type="http://schemas.openxmlformats.org/officeDocument/2006/relationships/hyperlink" Target="https://www.untitledui.com/react/components/modals;%20https://www.untitledui.com/react/components/buttons" TargetMode="External"/><Relationship Id="rId60" Type="http://schemas.openxmlformats.org/officeDocument/2006/relationships/hyperlink" Target="https://www.untitledui.com/react/components/drawers;%20https://www.untitledui.com/react/components/section-footers" TargetMode="External"/><Relationship Id="rId61" Type="http://schemas.openxmlformats.org/officeDocument/2006/relationships/hyperlink" Target="https://www.untitledui.com/react/components/page-headers;%20https://www.untitledui.com/react/components/section-headers" TargetMode="External"/><Relationship Id="rId62" Type="http://schemas.openxmlformats.org/officeDocument/2006/relationships/hyperlink" Target="https://www.untitledui.com/react/components/tabs" TargetMode="External"/><Relationship Id="rId6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6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6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66" Type="http://schemas.openxmlformats.org/officeDocument/2006/relationships/hyperlink" Target="https://www.untitledui.com/react/components/tabs" TargetMode="External"/><Relationship Id="rId6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6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6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70" Type="http://schemas.openxmlformats.org/officeDocument/2006/relationships/hyperlink" Target="https://www.untitledui.com/react/components/tables;%20https://www.untitledui.com/react/components/paginations" TargetMode="External"/><Relationship Id="rId7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72" Type="http://schemas.openxmlformats.org/officeDocument/2006/relationships/hyperlink" Target="https://www.untitledui.com/react/components/sliders;%20https://www.untitledui.com/react/components/inputs" TargetMode="External"/><Relationship Id="rId73" Type="http://schemas.openxmlformats.org/officeDocument/2006/relationships/hyperlink" Target="https://www.untitledui.com/react/components/tables;%20https://www.untitledui.com/react/components/paginations" TargetMode="External"/><Relationship Id="rId74" Type="http://schemas.openxmlformats.org/officeDocument/2006/relationships/hyperlink" Target="https://www.untitledui.com/react/components/line-bar-charts" TargetMode="External"/><Relationship Id="rId75" Type="http://schemas.openxmlformats.org/officeDocument/2006/relationships/hyperlink" Target="https://www.untitledui.com/react/components/activity-feeds;%20https://www.untitledui.com/react/components/dropdowns" TargetMode="External"/><Relationship Id="rId76" Type="http://schemas.openxmlformats.org/officeDocument/2006/relationships/hyperlink" Target="https://www.untitledui.com/react/components/metrics;%20https://www.untitledui.com/react/components/tooltips" TargetMode="External"/><Relationship Id="rId77" Type="http://schemas.openxmlformats.org/officeDocument/2006/relationships/hyperlink" Target="https://www.untitledui.com/react/components/page-headers;%20https://www.untitledui.com/react/components/section-headers" TargetMode="External"/><Relationship Id="rId78" Type="http://schemas.openxmlformats.org/officeDocument/2006/relationships/hyperlink" Target="https://www.untitledui.com/react/components/metrics;%20https://www.untitledui.com/react/components/tooltips" TargetMode="External"/><Relationship Id="rId79" Type="http://schemas.openxmlformats.org/officeDocument/2006/relationships/hyperlink" Target="https://www.untitledui.com/react/components/tabs" TargetMode="External"/><Relationship Id="rId8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81" Type="http://schemas.openxmlformats.org/officeDocument/2006/relationships/hyperlink" Target="https://www.untitledui.com/react/components/tables;%20https://www.untitledui.com/react/components/paginations" TargetMode="External"/><Relationship Id="rId82" Type="http://schemas.openxmlformats.org/officeDocument/2006/relationships/hyperlink" Target="https://www.untitledui.com/react/components/line-bar-charts" TargetMode="External"/><Relationship Id="rId83" Type="http://schemas.openxmlformats.org/officeDocument/2006/relationships/hyperlink" Target="https://www.untitledui.com/react/components/page-headers;%20https://www.untitledui.com/react/components/section-headers" TargetMode="External"/><Relationship Id="rId84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85" Type="http://schemas.openxmlformats.org/officeDocument/2006/relationships/hyperlink" Target="https://www.untitledui.com/react/components/metrics;%20https://www.untitledui.com/react/components/tooltips" TargetMode="External"/><Relationship Id="rId86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87" Type="http://schemas.openxmlformats.org/officeDocument/2006/relationships/hyperlink" Target="https://www.untitledui.com/react/components/line-bar-charts" TargetMode="External"/><Relationship Id="rId88" Type="http://schemas.openxmlformats.org/officeDocument/2006/relationships/hyperlink" Target="https://www.untitledui.com/react/components/line-bar-charts" TargetMode="External"/><Relationship Id="rId89" Type="http://schemas.openxmlformats.org/officeDocument/2006/relationships/hyperlink" Target="https://www.untitledui.com/react/components/tables;%20https://www.untitledui.com/react/components/paginations" TargetMode="External"/><Relationship Id="rId90" Type="http://schemas.openxmlformats.org/officeDocument/2006/relationships/hyperlink" Target="https://www.untitledui.com/react/components/line-bar-charts" TargetMode="External"/><Relationship Id="rId91" Type="http://schemas.openxmlformats.org/officeDocument/2006/relationships/hyperlink" Target="https://www.untitledui.com/react/components/tables;%20https://www.untitledui.com/react/components/paginations" TargetMode="External"/><Relationship Id="rId92" Type="http://schemas.openxmlformats.org/officeDocument/2006/relationships/hyperlink" Target="https://www.untitledui.com/react/components/page-headers;%20https://www.untitledui.com/react/components/section-headers" TargetMode="External"/><Relationship Id="rId93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94" Type="http://schemas.openxmlformats.org/officeDocument/2006/relationships/hyperlink" Target="https://www.untitledui.com/react/components/tables;%20https://www.untitledui.com/react/components/paginations" TargetMode="External"/><Relationship Id="rId95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9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97" Type="http://schemas.openxmlformats.org/officeDocument/2006/relationships/hyperlink" Target="https://www.untitledui.com/react/components/drawers;%20https://www.untitledui.com/react/components/section-footers" TargetMode="External"/><Relationship Id="rId98" Type="http://schemas.openxmlformats.org/officeDocument/2006/relationships/hyperlink" Target="https://www.untitledui.com/react/components/alerts;%20https://www.untitledui.com/react/components/notifications" TargetMode="External"/><Relationship Id="rId99" Type="http://schemas.openxmlformats.org/officeDocument/2006/relationships/hyperlink" Target="https://www.untitledui.com/react/components/metrics;%20https://www.untitledui.com/react/components/tooltips" TargetMode="External"/><Relationship Id="rId10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0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4" Type="http://schemas.openxmlformats.org/officeDocument/2006/relationships/hyperlink" Target="https://www.untitledui.com/react/components/line-bar-charts" TargetMode="External"/><Relationship Id="rId10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06" Type="http://schemas.openxmlformats.org/officeDocument/2006/relationships/hyperlink" Target="https://www.untitledui.com/react/components/modals;%20https://www.untitledui.com/react/components/buttons" TargetMode="External"/><Relationship Id="rId107" Type="http://schemas.openxmlformats.org/officeDocument/2006/relationships/hyperlink" Target="https://www.untitledui.com/react/components/tables;%20https://www.untitledui.com/react/components/paginations" TargetMode="External"/><Relationship Id="rId10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9" Type="http://schemas.openxmlformats.org/officeDocument/2006/relationships/hyperlink" Target="https://www.untitledui.com/react/components/alerts;%20https://www.untitledui.com/react/components/notifications" TargetMode="External"/><Relationship Id="rId11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1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12" Type="http://schemas.openxmlformats.org/officeDocument/2006/relationships/hyperlink" Target="https://www.untitledui.com/react/components/page-headers;%20https://www.untitledui.com/react/components/section-headers" TargetMode="External"/><Relationship Id="rId11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14" Type="http://schemas.openxmlformats.org/officeDocument/2006/relationships/hyperlink" Target="https://www.untitledui.com/react/components/tables;%20https://www.untitledui.com/react/components/paginations" TargetMode="External"/><Relationship Id="rId115" Type="http://schemas.openxmlformats.org/officeDocument/2006/relationships/hyperlink" Target="https://www.untitledui.com/react/components/section-headers;%20https://www.untitledui.com/react/components/content-dividers" TargetMode="External"/><Relationship Id="rId116" Type="http://schemas.openxmlformats.org/officeDocument/2006/relationships/hyperlink" Target="https://www.untitledui.com/react/components/progress-steps;%20https://www.untitledui.com/react/components/progress-indicators" TargetMode="External"/><Relationship Id="rId117" Type="http://schemas.openxmlformats.org/officeDocument/2006/relationships/hyperlink" Target="https://www.untitledui.com/react/components/drawers;%20https://www.untitledui.com/react/components/section-footers" TargetMode="External"/><Relationship Id="rId118" Type="http://schemas.openxmlformats.org/officeDocument/2006/relationships/hyperlink" Target="https://www.untitledui.com/react/components/metrics;%20https://www.untitledui.com/react/components/tooltips" TargetMode="External"/><Relationship Id="rId11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120" Type="http://schemas.openxmlformats.org/officeDocument/2006/relationships/hyperlink" Target="https://www.untitledui.com/react/components/page-headers;%20https://www.untitledui.com/react/components/section-headers" TargetMode="External"/><Relationship Id="rId121" Type="http://schemas.openxmlformats.org/officeDocument/2006/relationships/hyperlink" Target="https://www.untitledui.com/react/components/progress-steps;%20https://www.untitledui.com/react/components/progress-indicators" TargetMode="External"/><Relationship Id="rId12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23" Type="http://schemas.openxmlformats.org/officeDocument/2006/relationships/hyperlink" Target="https://www.untitledui.com/react/components/page-headers;%20https://www.untitledui.com/react/components/section-headers" TargetMode="External"/><Relationship Id="rId12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2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26" Type="http://schemas.openxmlformats.org/officeDocument/2006/relationships/hyperlink" Target="https://www.untitledui.com/react/components/tables;%20https://www.untitledui.com/react/components/paginations" TargetMode="External"/><Relationship Id="rId127" Type="http://schemas.openxmlformats.org/officeDocument/2006/relationships/hyperlink" Target="https://www.untitledui.com/react/components/messaging;%20https://www.untitledui.com/react/components/drawers" TargetMode="External"/><Relationship Id="rId128" Type="http://schemas.openxmlformats.org/officeDocument/2006/relationships/hyperlink" Target="https://www.untitledui.com/react/components/alerts;%20https://www.untitledui.com/react/components/notifications" TargetMode="External"/><Relationship Id="rId129" Type="http://schemas.openxmlformats.org/officeDocument/2006/relationships/hyperlink" Target="https://www.untitledui.com/react/components/tables;%20https://www.untitledui.com/react/components/paginations" TargetMode="External"/><Relationship Id="rId13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31" Type="http://schemas.openxmlformats.org/officeDocument/2006/relationships/hyperlink" Target="https://www.untitledui.com/react/components/page-headers;%20https://www.untitledui.com/react/components/section-headers" TargetMode="External"/><Relationship Id="rId13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33" Type="http://schemas.openxmlformats.org/officeDocument/2006/relationships/hyperlink" Target="https://www.untitledui.com/react/components/alerts;%20https://www.untitledui.com/react/components/notifications" TargetMode="External"/><Relationship Id="rId134" Type="http://schemas.openxmlformats.org/officeDocument/2006/relationships/hyperlink" Target="https://www.untitledui.com/react/components/tables;%20https://www.untitledui.com/react/components/paginations" TargetMode="External"/><Relationship Id="rId135" Type="http://schemas.openxmlformats.org/officeDocument/2006/relationships/hyperlink" Target="https://www.untitledui.com/react/components/select" TargetMode="External"/><Relationship Id="rId136" Type="http://schemas.openxmlformats.org/officeDocument/2006/relationships/hyperlink" Target="https://www.untitledui.com/react/components/tables;%20https://www.untitledui.com/react/components/paginations" TargetMode="External"/><Relationship Id="rId13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38" Type="http://schemas.openxmlformats.org/officeDocument/2006/relationships/hyperlink" Target="https://www.untitledui.com/react/components/activity-feeds;%20https://www.untitledui.com/react/components/dropdowns" TargetMode="External"/><Relationship Id="rId139" Type="http://schemas.openxmlformats.org/officeDocument/2006/relationships/hyperlink" Target="https://www.untitledui.com/react/components/messaging;%20https://www.untitledui.com/react/components/drawers" TargetMode="External"/><Relationship Id="rId14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41" Type="http://schemas.openxmlformats.org/officeDocument/2006/relationships/hyperlink" Target="https://www.untitledui.com/react/components/drawers;%20https://www.untitledui.com/react/components/section-footers" TargetMode="External"/><Relationship Id="rId142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143" Type="http://schemas.openxmlformats.org/officeDocument/2006/relationships/hyperlink" Target="https://www.untitledui.com/react/components/page-headers;%20https://www.untitledui.com/react/components/section-headers" TargetMode="External"/><Relationship Id="rId14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4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4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47" Type="http://schemas.openxmlformats.org/officeDocument/2006/relationships/hyperlink" Target="https://www.untitledui.com/react/components/metrics;%20https://www.untitledui.com/react/components/tooltips" TargetMode="External"/><Relationship Id="rId148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4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50" Type="http://schemas.openxmlformats.org/officeDocument/2006/relationships/hyperlink" Target="https://www.untitledui.com/react/components/tables;%20https://www.untitledui.com/react/components/paginations" TargetMode="External"/><Relationship Id="rId151" Type="http://schemas.openxmlformats.org/officeDocument/2006/relationships/hyperlink" Target="https://www.untitledui.com/react/components/drawers;%20https://www.untitledui.com/react/components/section-footers" TargetMode="External"/><Relationship Id="rId152" Type="http://schemas.openxmlformats.org/officeDocument/2006/relationships/hyperlink" Target="https://www.untitledui.com/react/components/modals;%20https://www.untitledui.com/react/components/buttons" TargetMode="External"/><Relationship Id="rId15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54" Type="http://schemas.openxmlformats.org/officeDocument/2006/relationships/hyperlink" Target="https://www.untitledui.com/react/components/metrics;%20https://www.untitledui.com/react/components/tooltips" TargetMode="External"/><Relationship Id="rId155" Type="http://schemas.openxmlformats.org/officeDocument/2006/relationships/hyperlink" Target="https://www.untitledui.com/react/components/tables;%20https://www.untitledui.com/react/components/paginations" TargetMode="External"/><Relationship Id="rId15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5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58" Type="http://schemas.openxmlformats.org/officeDocument/2006/relationships/hyperlink" Target="https://www.untitledui.com/react/components/tables;%20https://www.untitledui.com/react/components/paginations" TargetMode="External"/><Relationship Id="rId15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60" Type="http://schemas.openxmlformats.org/officeDocument/2006/relationships/hyperlink" Target="https://www.untitledui.com/react/components/alerts;%20https://www.untitledui.com/react/components/notifications" TargetMode="External"/><Relationship Id="rId161" Type="http://schemas.openxmlformats.org/officeDocument/2006/relationships/hyperlink" Target="https://www.untitledui.com/react/components/tables;%20https://www.untitledui.com/react/components/paginations" TargetMode="External"/><Relationship Id="rId16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63" Type="http://schemas.openxmlformats.org/officeDocument/2006/relationships/hyperlink" Target="https://www.untitledui.com/react/components/line-bar-charts" TargetMode="External"/><Relationship Id="rId16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65" Type="http://schemas.openxmlformats.org/officeDocument/2006/relationships/hyperlink" Target="https://www.untitledui.com/react/components/tabs" TargetMode="External"/><Relationship Id="rId166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67" Type="http://schemas.openxmlformats.org/officeDocument/2006/relationships/hyperlink" Target="https://www.untitledui.com/react/components/line-bar-charts" TargetMode="External"/><Relationship Id="rId168" Type="http://schemas.openxmlformats.org/officeDocument/2006/relationships/hyperlink" Target="https://www.untitledui.com/react/components/tables;%20https://www.untitledui.com/react/components/paginations" TargetMode="External"/><Relationship Id="rId169" Type="http://schemas.openxmlformats.org/officeDocument/2006/relationships/hyperlink" Target="https://www.untitledui.com/react/components/tables;%20https://www.untitledui.com/react/components/paginations" TargetMode="External"/><Relationship Id="rId170" Type="http://schemas.openxmlformats.org/officeDocument/2006/relationships/hyperlink" Target="https://www.untitledui.com/react/components/modals;%20https://www.untitledui.com/react/components/buttons" TargetMode="External"/><Relationship Id="rId171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72" Type="http://schemas.openxmlformats.org/officeDocument/2006/relationships/hyperlink" Target="https://www.untitledui.com/react/components/metrics;%20https://www.untitledui.com/react/components/tooltips" TargetMode="External"/><Relationship Id="rId173" Type="http://schemas.openxmlformats.org/officeDocument/2006/relationships/hyperlink" Target="https://www.untitledui.com/react/components/line-bar-charts" TargetMode="External"/><Relationship Id="rId174" Type="http://schemas.openxmlformats.org/officeDocument/2006/relationships/hyperlink" Target="https://www.untitledui.com/react/components/line-bar-charts" TargetMode="External"/><Relationship Id="rId17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76" Type="http://schemas.openxmlformats.org/officeDocument/2006/relationships/hyperlink" Target="https://www.untitledui.com/react/components/line-bar-charts" TargetMode="External"/><Relationship Id="rId177" Type="http://schemas.openxmlformats.org/officeDocument/2006/relationships/hyperlink" Target="https://www.untitledui.com/react/components/tables;%20https://www.untitledui.com/react/components/paginations" TargetMode="External"/><Relationship Id="rId178" Type="http://schemas.openxmlformats.org/officeDocument/2006/relationships/hyperlink" Target="https://www.untitledui.com/react/components/metrics;%20https://www.untitledui.com/react/components/tooltips" TargetMode="External"/><Relationship Id="rId179" Type="http://schemas.openxmlformats.org/officeDocument/2006/relationships/hyperlink" Target="https://www.untitledui.com/react/components/tables;%20https://www.untitledui.com/react/components/paginations" TargetMode="External"/><Relationship Id="rId180" Type="http://schemas.openxmlformats.org/officeDocument/2006/relationships/hyperlink" Target="https://www.untitledui.com/react/components/tables;%20https://www.untitledui.com/react/components/paginations" TargetMode="External"/><Relationship Id="rId181" Type="http://schemas.openxmlformats.org/officeDocument/2006/relationships/hyperlink" Target="https://www.untitledui.com/react/components/tables;%20https://www.untitledui.com/react/components/paginations" TargetMode="External"/><Relationship Id="rId182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8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84" Type="http://schemas.openxmlformats.org/officeDocument/2006/relationships/hyperlink" Target="https://www.untitledui.com/react/components/sliders;%20https://www.untitledui.com/react/components/inputs" TargetMode="External"/><Relationship Id="rId185" Type="http://schemas.openxmlformats.org/officeDocument/2006/relationships/hyperlink" Target="https://www.untitledui.com/react/components/line-bar-charts" TargetMode="External"/><Relationship Id="rId186" Type="http://schemas.openxmlformats.org/officeDocument/2006/relationships/hyperlink" Target="https://www.untitledui.com/react/components/modals;%20https://www.untitledui.com/react/components/buttons" TargetMode="External"/><Relationship Id="rId187" Type="http://schemas.openxmlformats.org/officeDocument/2006/relationships/hyperlink" Target="https://www.untitledui.com/react/components/page-headers;%20https://www.untitledui.com/react/components/section-headers" TargetMode="External"/><Relationship Id="rId188" Type="http://schemas.openxmlformats.org/officeDocument/2006/relationships/hyperlink" Target="https://www.untitledui.com/react/components/select" TargetMode="External"/><Relationship Id="rId18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90" Type="http://schemas.openxmlformats.org/officeDocument/2006/relationships/hyperlink" Target="https://www.untitledui.com/react/components/tables;%20https://www.untitledui.com/react/components/paginations" TargetMode="External"/><Relationship Id="rId191" Type="http://schemas.openxmlformats.org/officeDocument/2006/relationships/hyperlink" Target="https://www.untitledui.com/react/components/line-bar-charts" TargetMode="External"/><Relationship Id="rId192" Type="http://schemas.openxmlformats.org/officeDocument/2006/relationships/hyperlink" Target="https://www.untitledui.com/react/components/sliders;%20https://www.untitledui.com/react/components/inputs" TargetMode="External"/><Relationship Id="rId19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9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9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96" Type="http://schemas.openxmlformats.org/officeDocument/2006/relationships/hyperlink" Target="https://www.untitledui.com/react/components/page-headers;%20https://www.untitledui.com/react/components/section-headers" TargetMode="External"/><Relationship Id="rId197" Type="http://schemas.openxmlformats.org/officeDocument/2006/relationships/hyperlink" Target="https://www.untitledui.com/react/components/line-bar-charts" TargetMode="External"/><Relationship Id="rId198" Type="http://schemas.openxmlformats.org/officeDocument/2006/relationships/hyperlink" Target="https://www.untitledui.com/react/components/tables;%20https://www.untitledui.com/react/components/paginations" TargetMode="External"/><Relationship Id="rId19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1" Type="http://schemas.openxmlformats.org/officeDocument/2006/relationships/hyperlink" Target="https://www.untitledui.com/react/components/modals;%20https://www.untitledui.com/react/components/buttons" TargetMode="External"/><Relationship Id="rId202" Type="http://schemas.openxmlformats.org/officeDocument/2006/relationships/hyperlink" Target="https://www.untitledui.com/react/components/metrics;%20https://www.untitledui.com/react/components/tooltips" TargetMode="External"/><Relationship Id="rId20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04" Type="http://schemas.openxmlformats.org/officeDocument/2006/relationships/hyperlink" Target="https://www.untitledui.com/react/components/line-bar-charts" TargetMode="External"/><Relationship Id="rId20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06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7" Type="http://schemas.openxmlformats.org/officeDocument/2006/relationships/hyperlink" Target="https://www.untitledui.com/react/components/tables;%20https://www.untitledui.com/react/components/paginations" TargetMode="External"/><Relationship Id="rId20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9" Type="http://schemas.openxmlformats.org/officeDocument/2006/relationships/hyperlink" Target="https://www.untitledui.com/react/components/progress-steps;%20https://www.untitledui.com/react/components/progress-indicators" TargetMode="External"/><Relationship Id="rId21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1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12" Type="http://schemas.openxmlformats.org/officeDocument/2006/relationships/hyperlink" Target="https://www.untitledui.com/react/components/drawers;%20https://www.untitledui.com/react/components/section-footers" TargetMode="External"/><Relationship Id="rId213" Type="http://schemas.openxmlformats.org/officeDocument/2006/relationships/hyperlink" Target="https://www.untitledui.com/react/components/modals;%20https://www.untitledui.com/react/components/buttons" TargetMode="External"/><Relationship Id="rId214" Type="http://schemas.openxmlformats.org/officeDocument/2006/relationships/hyperlink" Target="https://www.untitledui.com/react/components/metrics;%20https://www.untitledui.com/react/components/tooltips" TargetMode="External"/><Relationship Id="rId215" Type="http://schemas.openxmlformats.org/officeDocument/2006/relationships/hyperlink" Target="https://www.untitledui.com/react/components/line-bar-charts" TargetMode="External"/><Relationship Id="rId216" Type="http://schemas.openxmlformats.org/officeDocument/2006/relationships/hyperlink" Target="https://www.untitledui.com/react/components/metrics;%20https://www.untitledui.com/react/components/tooltips" TargetMode="External"/><Relationship Id="rId217" Type="http://schemas.openxmlformats.org/officeDocument/2006/relationships/hyperlink" Target="https://www.untitledui.com/react/components/tables;%20https://www.untitledui.com/react/components/paginations" TargetMode="External"/><Relationship Id="rId21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19" Type="http://schemas.openxmlformats.org/officeDocument/2006/relationships/hyperlink" Target="https://www.untitledui.com/react/components/page-headers;%20https://www.untitledui.com/react/components/section-headers" TargetMode="External"/><Relationship Id="rId220" Type="http://schemas.openxmlformats.org/officeDocument/2006/relationships/hyperlink" Target="https://www.untitledui.com/react/components/radio-groups" TargetMode="External"/><Relationship Id="rId221" Type="http://schemas.openxmlformats.org/officeDocument/2006/relationships/hyperlink" Target="https://www.untitledui.com/react/components/progress-steps;%20https://www.untitledui.com/react/components/progress-indicators" TargetMode="External"/><Relationship Id="rId222" Type="http://schemas.openxmlformats.org/officeDocument/2006/relationships/hyperlink" Target="https://www.untitledui.com/react/components/file-uploaders" TargetMode="External"/><Relationship Id="rId22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2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25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26" Type="http://schemas.openxmlformats.org/officeDocument/2006/relationships/hyperlink" Target="https://www.untitledui.com/react/components/tables;%20https://www.untitledui.com/react/components/paginations" TargetMode="External"/><Relationship Id="rId227" Type="http://schemas.openxmlformats.org/officeDocument/2006/relationships/hyperlink" Target="https://www.untitledui.com/react/components/progress-steps;%20https://www.untitledui.com/react/components/progress-indicators" TargetMode="External"/><Relationship Id="rId228" Type="http://schemas.openxmlformats.org/officeDocument/2006/relationships/hyperlink" Target="https://www.untitledui.com/react/components/tables;%20https://www.untitledui.com/react/components/paginations" TargetMode="External"/><Relationship Id="rId229" Type="http://schemas.openxmlformats.org/officeDocument/2006/relationships/hyperlink" Target="https://www.untitledui.com/react/components/page-headers;%20https://www.untitledui.com/react/components/section-headers" TargetMode="External"/><Relationship Id="rId230" Type="http://schemas.openxmlformats.org/officeDocument/2006/relationships/hyperlink" Target="https://www.untitledui.com/react/components/alerts;%20https://www.untitledui.com/react/components/notifications" TargetMode="External"/><Relationship Id="rId231" Type="http://schemas.openxmlformats.org/officeDocument/2006/relationships/hyperlink" Target="https://www.untitledui.com/react/components/tables;%20https://www.untitledui.com/react/components/paginations" TargetMode="External"/><Relationship Id="rId23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3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34" Type="http://schemas.openxmlformats.org/officeDocument/2006/relationships/hyperlink" Target="https://www.untitledui.com/react/components/tables;%20https://www.untitledui.com/react/components/paginations" TargetMode="External"/><Relationship Id="rId235" Type="http://schemas.openxmlformats.org/officeDocument/2006/relationships/hyperlink" Target="https://www.untitledui.com/react/components/drawers;%20https://www.untitledui.com/react/components/section-footers" TargetMode="External"/><Relationship Id="rId236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37" Type="http://schemas.openxmlformats.org/officeDocument/2006/relationships/hyperlink" Target="https://www.untitledui.com/react/components/tabs" TargetMode="External"/><Relationship Id="rId23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39" Type="http://schemas.openxmlformats.org/officeDocument/2006/relationships/hyperlink" Target="https://www.untitledui.com/react/components/tables;%20https://www.untitledui.com/react/components/paginations" TargetMode="External"/><Relationship Id="rId240" Type="http://schemas.openxmlformats.org/officeDocument/2006/relationships/hyperlink" Target="https://www.untitledui.com/react/components/progress-steps;%20https://www.untitledui.com/react/components/progress-indicators" TargetMode="External"/><Relationship Id="rId24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4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43" Type="http://schemas.openxmlformats.org/officeDocument/2006/relationships/hyperlink" Target="https://www.untitledui.com/react/components/file-uploaders" TargetMode="External"/><Relationship Id="rId24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45" Type="http://schemas.openxmlformats.org/officeDocument/2006/relationships/hyperlink" Target="https://www.untitledui.com/react/components/progress-steps;%20https://www.untitledui.com/react/components/progress-indicators" TargetMode="External"/><Relationship Id="rId246" Type="http://schemas.openxmlformats.org/officeDocument/2006/relationships/hyperlink" Target="https://www.untitledui.com/react/components/page-headers;%20https://www.untitledui.com/react/components/section-headers" TargetMode="External"/><Relationship Id="rId24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4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4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50" Type="http://schemas.openxmlformats.org/officeDocument/2006/relationships/hyperlink" Target="https://www.untitledui.com/react/components/drawers;%20https://www.untitledui.com/react/components/section-footers" TargetMode="External"/><Relationship Id="rId251" Type="http://schemas.openxmlformats.org/officeDocument/2006/relationships/hyperlink" Target="https://www.untitledui.com/react/components/page-headers;%20https://www.untitledui.com/react/components/section-headers" TargetMode="External"/><Relationship Id="rId252" Type="http://schemas.openxmlformats.org/officeDocument/2006/relationships/hyperlink" Target="https://www.untitledui.com/react/components/line-bar-charts" TargetMode="External"/><Relationship Id="rId25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54" Type="http://schemas.openxmlformats.org/officeDocument/2006/relationships/hyperlink" Target="https://www.untitledui.com/react/components/drawers;%20https://www.untitledui.com/react/components/section-footers" TargetMode="External"/><Relationship Id="rId255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56" Type="http://schemas.openxmlformats.org/officeDocument/2006/relationships/hyperlink" Target="https://www.untitledui.com/react/components/tables;%20https://www.untitledui.com/react/components/paginations" TargetMode="External"/><Relationship Id="rId257" Type="http://schemas.openxmlformats.org/officeDocument/2006/relationships/hyperlink" Target="https://www.untitledui.com/react/components/progress-steps;%20https://www.untitledui.com/react/components/progress-indicators" TargetMode="External"/><Relationship Id="rId258" Type="http://schemas.openxmlformats.org/officeDocument/2006/relationships/hyperlink" Target="https://www.untitledui.com/react/components/page-headers;%20https://www.untitledui.com/react/components/section-headers" TargetMode="External"/><Relationship Id="rId259" Type="http://schemas.openxmlformats.org/officeDocument/2006/relationships/hyperlink" Target="https://www.untitledui.com/react/components/tabs" TargetMode="External"/><Relationship Id="rId260" Type="http://schemas.openxmlformats.org/officeDocument/2006/relationships/hyperlink" Target="https://www.untitledui.com/react/components/tables;%20https://www.untitledui.com/react/components/paginations" TargetMode="External"/><Relationship Id="rId26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62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6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64" Type="http://schemas.openxmlformats.org/officeDocument/2006/relationships/hyperlink" Target="https://www.untitledui.com/react/components/tables;%20https://www.untitledui.com/react/components/paginations" TargetMode="External"/><Relationship Id="rId265" Type="http://schemas.openxmlformats.org/officeDocument/2006/relationships/hyperlink" Target="https://www.untitledui.com/react/components/metrics;%20https://www.untitledui.com/react/components/tooltips" TargetMode="External"/><Relationship Id="rId266" Type="http://schemas.openxmlformats.org/officeDocument/2006/relationships/hyperlink" Target="https://www.untitledui.com/react/components/modals;%20https://www.untitledui.com/react/components/buttons" TargetMode="External"/><Relationship Id="rId26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6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6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7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7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7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73" Type="http://schemas.openxmlformats.org/officeDocument/2006/relationships/hyperlink" Target="https://www.untitledui.com/react/components/section-headers;%20https://www.untitledui.com/react/components/content-dividers" TargetMode="External"/><Relationship Id="rId274" Type="http://schemas.openxmlformats.org/officeDocument/2006/relationships/hyperlink" Target="https://www.untitledui.com/react/components/page-headers;%20https://www.untitledui.com/react/components/section-headers" TargetMode="External"/><Relationship Id="rId275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7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77" Type="http://schemas.openxmlformats.org/officeDocument/2006/relationships/hyperlink" Target="https://www.untitledui.com/react/components/tables;%20https://www.untitledui.com/react/components/paginations" TargetMode="External"/><Relationship Id="rId27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79" Type="http://schemas.openxmlformats.org/officeDocument/2006/relationships/hyperlink" Target="https://www.untitledui.com/react/components/tabs" TargetMode="External"/><Relationship Id="rId28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8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82" Type="http://schemas.openxmlformats.org/officeDocument/2006/relationships/hyperlink" Target="https://www.untitledui.com/react/components/tables;%20https://www.untitledui.com/react/components/paginations" TargetMode="External"/><Relationship Id="rId283" Type="http://schemas.openxmlformats.org/officeDocument/2006/relationships/hyperlink" Target="https://www.untitledui.com/react/components/alerts;%20https://www.untitledui.com/react/components/notifications" TargetMode="External"/><Relationship Id="rId28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8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86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87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88" Type="http://schemas.openxmlformats.org/officeDocument/2006/relationships/hyperlink" Target="https://www.untitledui.com/react/components/tables;%20https://www.untitledui.com/react/components/paginations" TargetMode="External"/><Relationship Id="rId28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90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91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9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9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94" Type="http://schemas.openxmlformats.org/officeDocument/2006/relationships/hyperlink" Target="https://www.untitledui.com/react/components/tables;%20https://www.untitledui.com/react/components/paginations" TargetMode="External"/><Relationship Id="rId29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96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9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9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99" Type="http://schemas.openxmlformats.org/officeDocument/2006/relationships/hyperlink" Target="https://www.untitledui.com/react/components/progress-steps;%20https://www.untitledui.com/react/components/progress-indicators" TargetMode="External"/><Relationship Id="rId30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01" Type="http://schemas.openxmlformats.org/officeDocument/2006/relationships/hyperlink" Target="https://www.untitledui.com/react/components/page-headers;%20https://www.untitledui.com/react/components/section-headers" TargetMode="External"/><Relationship Id="rId302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30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04" Type="http://schemas.openxmlformats.org/officeDocument/2006/relationships/hyperlink" Target="https://www.untitledui.com/react/components/drawers;%20https://www.untitledui.com/react/components/section-footers" TargetMode="External"/><Relationship Id="rId305" Type="http://schemas.openxmlformats.org/officeDocument/2006/relationships/hyperlink" Target="https://www.untitledui.com/react/components/alerts;%20https://www.untitledui.com/react/components/notifications" TargetMode="External"/><Relationship Id="rId306" Type="http://schemas.openxmlformats.org/officeDocument/2006/relationships/hyperlink" Target="https://www.untitledui.com/react/components/page-headers;%20https://www.untitledui.com/react/components/section-headers" TargetMode="External"/><Relationship Id="rId307" Type="http://schemas.openxmlformats.org/officeDocument/2006/relationships/hyperlink" Target="https://www.untitledui.com/react/components/tables;%20https://www.untitledui.com/react/components/paginations" TargetMode="External"/><Relationship Id="rId30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09" Type="http://schemas.openxmlformats.org/officeDocument/2006/relationships/hyperlink" Target="https://www.untitledui.com/react/components/tables;%20https://www.untitledui.com/react/components/paginations" TargetMode="External"/><Relationship Id="rId310" Type="http://schemas.openxmlformats.org/officeDocument/2006/relationships/hyperlink" Target="https://www.untitledui.com/react/components/tabs" TargetMode="External"/><Relationship Id="rId31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12" Type="http://schemas.openxmlformats.org/officeDocument/2006/relationships/hyperlink" Target="https://www.untitledui.com/react/components/page-headers;%20https://www.untitledui.com/react/components/section-headers" TargetMode="External"/><Relationship Id="rId31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14" Type="http://schemas.openxmlformats.org/officeDocument/2006/relationships/hyperlink" Target="https://www.untitledui.com/react/components/file-uploaders" TargetMode="External"/><Relationship Id="rId315" Type="http://schemas.openxmlformats.org/officeDocument/2006/relationships/hyperlink" Target="https://www.untitledui.com/react/components/tables;%20https://www.untitledui.com/react/components/paginations" TargetMode="External"/><Relationship Id="rId316" Type="http://schemas.openxmlformats.org/officeDocument/2006/relationships/hyperlink" Target="https://www.untitledui.com/react/components/alerts;%20https://www.untitledui.com/react/components/notifications" TargetMode="External"/><Relationship Id="rId317" Type="http://schemas.openxmlformats.org/officeDocument/2006/relationships/hyperlink" Target="https://www.untitledui.com/react/components/tabs" TargetMode="External"/><Relationship Id="rId31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1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2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2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22" Type="http://schemas.openxmlformats.org/officeDocument/2006/relationships/hyperlink" Target="https://www.untitledui.com/react/components/drawers;%20https://www.untitledui.com/react/components/section-footers" TargetMode="External"/><Relationship Id="rId323" Type="http://schemas.openxmlformats.org/officeDocument/2006/relationships/hyperlink" Target="https://www.untitledui.com/react/components/page-headers;%20https://www.untitledui.com/react/components/section-headers" TargetMode="External"/><Relationship Id="rId324" Type="http://schemas.openxmlformats.org/officeDocument/2006/relationships/hyperlink" Target="https://www.untitledui.com/react/components/tables;%20https://www.untitledui.com/react/components/paginations" TargetMode="External"/><Relationship Id="rId325" Type="http://schemas.openxmlformats.org/officeDocument/2006/relationships/hyperlink" Target="https://www.untitledui.com/react/components/metrics;%20https://www.untitledui.com/react/components/tooltips" TargetMode="External"/><Relationship Id="rId326" Type="http://schemas.openxmlformats.org/officeDocument/2006/relationships/hyperlink" Target="https://www.untitledui.com/react/components/modals;%20https://www.untitledui.com/react/components/buttons" TargetMode="External"/><Relationship Id="rId32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28" Type="http://schemas.openxmlformats.org/officeDocument/2006/relationships/hyperlink" Target="https://www.untitledui.com/react/components/tables;%20https://www.untitledui.com/react/components/paginations" TargetMode="External"/><Relationship Id="rId329" Type="http://schemas.openxmlformats.org/officeDocument/2006/relationships/hyperlink" Target="https://www.untitledui.com/react/components/messaging;%20https://www.untitledui.com/react/components/drawers" TargetMode="External"/><Relationship Id="rId330" Type="http://schemas.openxmlformats.org/officeDocument/2006/relationships/hyperlink" Target="https://www.untitledui.com/react/components/tabs" TargetMode="External"/><Relationship Id="rId331" Type="http://schemas.openxmlformats.org/officeDocument/2006/relationships/hyperlink" Target="https://www.untitledui.com/react/components/tables;%20https://www.untitledui.com/react/components/paginations" TargetMode="External"/><Relationship Id="rId332" Type="http://schemas.openxmlformats.org/officeDocument/2006/relationships/hyperlink" Target="https://www.untitledui.com/react/components/metrics;%20https://www.untitledui.com/react/components/tooltips" TargetMode="External"/><Relationship Id="rId333" Type="http://schemas.openxmlformats.org/officeDocument/2006/relationships/hyperlink" Target="https://www.untitledui.com/react/components/page-headers;%20https://www.untitledui.com/react/components/section-headers" TargetMode="External"/><Relationship Id="rId334" Type="http://schemas.openxmlformats.org/officeDocument/2006/relationships/hyperlink" Target="https://www.untitledui.com/react/components/progress-steps;%20https://www.untitledui.com/react/components/progress-indicators" TargetMode="External"/><Relationship Id="rId335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36" Type="http://schemas.openxmlformats.org/officeDocument/2006/relationships/hyperlink" Target="https://www.untitledui.com/react/components/drawers;%20https://www.untitledui.com/react/components/section-footers" TargetMode="External"/><Relationship Id="rId33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38" Type="http://schemas.openxmlformats.org/officeDocument/2006/relationships/hyperlink" Target="https://www.untitledui.com/react/components/file-uploaders" TargetMode="External"/><Relationship Id="rId339" Type="http://schemas.openxmlformats.org/officeDocument/2006/relationships/hyperlink" Target="https://www.untitledui.com/react/components/tables;%20https://www.untitledui.com/react/components/paginations" TargetMode="External"/><Relationship Id="rId340" Type="http://schemas.openxmlformats.org/officeDocument/2006/relationships/hyperlink" Target="https://www.untitledui.com/react/components/modals;%20https://www.untitledui.com/react/components/buttons" TargetMode="External"/><Relationship Id="rId341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42" Type="http://schemas.openxmlformats.org/officeDocument/2006/relationships/hyperlink" Target="https://www.untitledui.com/react/components/tables;%20https://www.untitledui.com/react/components/paginations" TargetMode="External"/><Relationship Id="rId343" Type="http://schemas.openxmlformats.org/officeDocument/2006/relationships/hyperlink" Target="https://www.untitledui.com/react/components/tables;%20https://www.untitledui.com/react/components/paginations" TargetMode="External"/><Relationship Id="rId344" Type="http://schemas.openxmlformats.org/officeDocument/2006/relationships/hyperlink" Target="https://www.untitledui.com/react/components/tables;%20https://www.untitledui.com/react/components/paginations" TargetMode="External"/><Relationship Id="rId345" Type="http://schemas.openxmlformats.org/officeDocument/2006/relationships/hyperlink" Target="https://www.untitledui.com/react/components/tables;%20https://www.untitledui.com/react/components/paginations" TargetMode="External"/><Relationship Id="rId346" Type="http://schemas.openxmlformats.org/officeDocument/2006/relationships/hyperlink" Target="https://www.untitledui.com/react/components/metrics;%20https://www.untitledui.com/react/components/tooltips" TargetMode="External"/><Relationship Id="rId34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48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49" Type="http://schemas.openxmlformats.org/officeDocument/2006/relationships/hyperlink" Target="https://www.untitledui.com/react/components/tables;%20https://www.untitledui.com/react/components/paginations" TargetMode="External"/><Relationship Id="rId350" Type="http://schemas.openxmlformats.org/officeDocument/2006/relationships/hyperlink" Target="https://www.untitledui.com/react/components/calendars;%20https://www.untitledui.com/react/components/activity-feeds" TargetMode="External"/><Relationship Id="rId351" Type="http://schemas.openxmlformats.org/officeDocument/2006/relationships/hyperlink" Target="https://www.untitledui.com/react/components/modals;%20https://www.untitledui.com/react/components/buttons" TargetMode="External"/><Relationship Id="rId352" Type="http://schemas.openxmlformats.org/officeDocument/2006/relationships/hyperlink" Target="https://www.untitledui.com/react/components/tabs" TargetMode="External"/><Relationship Id="rId35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54" Type="http://schemas.openxmlformats.org/officeDocument/2006/relationships/hyperlink" Target="https://www.untitledui.com/react/components/modals;%20https://www.untitledui.com/react/components/buttons" TargetMode="External"/><Relationship Id="rId355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56" Type="http://schemas.openxmlformats.org/officeDocument/2006/relationships/hyperlink" Target="https://www.untitledui.com/react/components/tabs" TargetMode="External"/><Relationship Id="rId35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5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5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60" Type="http://schemas.openxmlformats.org/officeDocument/2006/relationships/hyperlink" Target="https://www.untitledui.com/react/components/tabs" TargetMode="External"/><Relationship Id="rId36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62" Type="http://schemas.openxmlformats.org/officeDocument/2006/relationships/hyperlink" Target="https://www.untitledui.com/react/components/activity-feeds;%20https://www.untitledui.com/react/components/dropdowns" TargetMode="External"/><Relationship Id="rId36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64" Type="http://schemas.openxmlformats.org/officeDocument/2006/relationships/hyperlink" Target="https://www.untitledui.com/react/components/tables;%20https://www.untitledui.com/react/components/paginations" TargetMode="External"/><Relationship Id="rId365" Type="http://schemas.openxmlformats.org/officeDocument/2006/relationships/hyperlink" Target="https://www.untitledui.com/react/components/modals;%20https://www.untitledui.com/react/components/buttons" TargetMode="External"/><Relationship Id="rId366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67" Type="http://schemas.openxmlformats.org/officeDocument/2006/relationships/hyperlink" Target="https://www.untitledui.com/react/components/activity-feeds;%20https://www.untitledui.com/react/components/dropdowns" TargetMode="External"/><Relationship Id="rId36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6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7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73" Type="http://schemas.openxmlformats.org/officeDocument/2006/relationships/hyperlink" Target="https://www.untitledui.com/react/components/tables;%20https://www.untitledui.com/react/components/paginations" TargetMode="External"/><Relationship Id="rId374" Type="http://schemas.openxmlformats.org/officeDocument/2006/relationships/hyperlink" Target="https://www.untitledui.com/react/components/avatars;%20https://www.untitledui.com/react/components/badges;%20https://www.untitledui.com/react/components/dropdowns" TargetMode="External"/><Relationship Id="rId375" Type="http://schemas.openxmlformats.org/officeDocument/2006/relationships/hyperlink" Target="https://www.untitledui.com/react/components/tabs" TargetMode="External"/><Relationship Id="rId376" Type="http://schemas.openxmlformats.org/officeDocument/2006/relationships/hyperlink" Target="https://www.untitledui.com/react/components/metrics;%20https://www.untitledui.com/react/components/tooltips" TargetMode="External"/><Relationship Id="rId37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8" Type="http://schemas.openxmlformats.org/officeDocument/2006/relationships/hyperlink" Target="https://www.untitledui.com/react/components/tables;%20https://www.untitledui.com/react/components/paginations" TargetMode="External"/><Relationship Id="rId37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80" Type="http://schemas.openxmlformats.org/officeDocument/2006/relationships/hyperlink" Target="https://www.untitledui.com/react/components/file-uploaders" TargetMode="External"/><Relationship Id="rId381" Type="http://schemas.openxmlformats.org/officeDocument/2006/relationships/hyperlink" Target="https://www.untitledui.com/react/components/toggles;%20https://www.untitledui.com/react/components/inputs" TargetMode="External"/><Relationship Id="rId382" Type="http://schemas.openxmlformats.org/officeDocument/2006/relationships/hyperlink" Target="https://www.untitledui.com/react/components/modals;%20https://www.untitledui.com/react/components/buttons" TargetMode="External"/><Relationship Id="rId383" Type="http://schemas.openxmlformats.org/officeDocument/2006/relationships/hyperlink" Target="https://www.untitledui.com/react/components/avatars;%20https://www.untitledui.com/react/components/badges;%20https://www.untitledui.com/react/components/dropdowns" TargetMode="External"/><Relationship Id="rId384" Type="http://schemas.openxmlformats.org/officeDocument/2006/relationships/hyperlink" Target="https://www.untitledui.com/react/components/modals;%20https://www.untitledui.com/react/components/buttons" TargetMode="External"/><Relationship Id="rId385" Type="http://schemas.openxmlformats.org/officeDocument/2006/relationships/hyperlink" Target="https://www.untitledui.com/react/components/tables;%20https://www.untitledui.com/react/components/paginations" TargetMode="External"/><Relationship Id="rId386" Type="http://schemas.openxmlformats.org/officeDocument/2006/relationships/hyperlink" Target="https://www.untitledui.com/react/components/activity-feeds;%20https://www.untitledui.com/react/components/dropdowns" TargetMode="External"/><Relationship Id="rId387" Type="http://schemas.openxmlformats.org/officeDocument/2006/relationships/hyperlink" Target="https://www.untitledui.com/react/components/sidebar-navigations" TargetMode="External"/><Relationship Id="rId38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89" Type="http://schemas.openxmlformats.org/officeDocument/2006/relationships/hyperlink" Target="https://www.untitledui.com/react/components/toggles;%20https://www.untitledui.com/react/components/inputs" TargetMode="External"/><Relationship Id="rId39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91" Type="http://schemas.openxmlformats.org/officeDocument/2006/relationships/hyperlink" Target="https://www.untitledui.com/react/components/toggles;%20https://www.untitledui.com/react/components/inputs" TargetMode="External"/><Relationship Id="rId392" Type="http://schemas.openxmlformats.org/officeDocument/2006/relationships/hyperlink" Target="https://www.untitledui.com/react/components/tables;%20https://www.untitledui.com/react/components/paginations" TargetMode="External"/><Relationship Id="rId39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94" Type="http://schemas.openxmlformats.org/officeDocument/2006/relationships/hyperlink" Target="https://www.untitledui.com/react/components/toggles;%20https://www.untitledui.com/react/components/inputs" TargetMode="External"/><Relationship Id="rId39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9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9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98" Type="http://schemas.openxmlformats.org/officeDocument/2006/relationships/hyperlink" Target="https://www.untitledui.com/react/components/alerts;%20https://www.untitledui.com/react/components/notifications" TargetMode="External"/><Relationship Id="rId399" Type="http://schemas.openxmlformats.org/officeDocument/2006/relationships/hyperlink" Target="https://www.untitledui.com/react/components/modals;%20https://www.untitledui.com/react/components/buttons" TargetMode="External"/><Relationship Id="rId400" Type="http://schemas.openxmlformats.org/officeDocument/2006/relationships/hyperlink" Target="https://www.untitledui.com/react/components/modals;%20https://www.untitledui.com/react/components/buttons" TargetMode="External"/><Relationship Id="rId40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02" Type="http://schemas.openxmlformats.org/officeDocument/2006/relationships/hyperlink" Target="https://www.untitledui.com/react/components/toggles;%20https://www.untitledui.com/react/components/inputs" TargetMode="External"/><Relationship Id="rId403" Type="http://schemas.openxmlformats.org/officeDocument/2006/relationships/hyperlink" Target="https://www.untitledui.com/react/components/alerts;%20https://www.untitledui.com/react/components/notifications" TargetMode="External"/><Relationship Id="rId404" Type="http://schemas.openxmlformats.org/officeDocument/2006/relationships/hyperlink" Target="https://www.untitledui.com/react/components/page-headers;%20https://www.untitledui.com/react/components/section-headers" TargetMode="External"/><Relationship Id="rId405" Type="http://schemas.openxmlformats.org/officeDocument/2006/relationships/hyperlink" Target="https://www.untitledui.com/react/components/modals;%20https://www.untitledui.com/react/components/buttons" TargetMode="External"/><Relationship Id="rId406" Type="http://schemas.openxmlformats.org/officeDocument/2006/relationships/hyperlink" Target="https://www.untitledui.com/react/components/page-headers;%20https://www.untitledui.com/react/components/section-headers" TargetMode="External"/><Relationship Id="rId407" Type="http://schemas.openxmlformats.org/officeDocument/2006/relationships/hyperlink" Target="https://www.untitledui.com/react/components/metrics;%20https://www.untitledui.com/react/components/tooltips" TargetMode="External"/><Relationship Id="rId408" Type="http://schemas.openxmlformats.org/officeDocument/2006/relationships/hyperlink" Target="https://www.untitledui.com/react/components/tables;%20https://www.untitledui.com/react/components/paginations" TargetMode="External"/><Relationship Id="rId409" Type="http://schemas.openxmlformats.org/officeDocument/2006/relationships/hyperlink" Target="https://www.untitledui.com/react/components/metrics;%20https://www.untitledui.com/react/components/tooltips" TargetMode="External"/><Relationship Id="rId410" Type="http://schemas.openxmlformats.org/officeDocument/2006/relationships/hyperlink" Target="https://www.untitledui.com/react/components/tables;%20https://www.untitledui.com/react/components/radio-groups;%20https://www.untitledui.com/react/components/buttons" TargetMode="External"/><Relationship Id="rId41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12" Type="http://schemas.openxmlformats.org/officeDocument/2006/relationships/hyperlink" Target="https://www.untitledui.com/react/components/modals;%20https://www.untitledui.com/react/components/buttons" TargetMode="External"/><Relationship Id="rId413" Type="http://schemas.openxmlformats.org/officeDocument/2006/relationships/hyperlink" Target="https://www.untitledui.com/react/components/tables;%20https://www.untitledui.com/react/components/paginations" TargetMode="External"/><Relationship Id="rId414" Type="http://schemas.openxmlformats.org/officeDocument/2006/relationships/hyperlink" Target="https://www.untitledui.com/react/components/section-headers;%20https://www.untitledui.com/react/components/content-dividers" TargetMode="External"/><Relationship Id="rId415" Type="http://schemas.openxmlformats.org/officeDocument/2006/relationships/hyperlink" Target="https://www.untitledui.com/react/components/sidebar-navigations" TargetMode="External"/><Relationship Id="rId416" Type="http://schemas.openxmlformats.org/officeDocument/2006/relationships/hyperlink" Target="https://www.untitledui.com/react/components/metrics;%20https://www.untitledui.com/react/components/tooltips" TargetMode="External"/><Relationship Id="rId417" Type="http://schemas.openxmlformats.org/officeDocument/2006/relationships/hyperlink" Target="https://www.untitledui.com/react/components/tables;%20https://www.untitledui.com/react/components/paginations" TargetMode="External"/><Relationship Id="rId418" Type="http://schemas.openxmlformats.org/officeDocument/2006/relationships/hyperlink" Target="https://www.untitledui.com/react/components/activity-feeds;%20https://www.untitledui.com/react/components/dropdowns" TargetMode="External"/><Relationship Id="rId41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20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421" Type="http://schemas.openxmlformats.org/officeDocument/2006/relationships/hyperlink" Target="https://www.untitledui.com/react/components/tables;%20https://www.untitledui.com/react/components/paginations" TargetMode="External"/><Relationship Id="rId422" Type="http://schemas.openxmlformats.org/officeDocument/2006/relationships/hyperlink" Target="https://www.untitledui.com/react/components/modals;%20https://www.untitledui.com/react/components/buttons" TargetMode="External"/><Relationship Id="rId423" Type="http://schemas.openxmlformats.org/officeDocument/2006/relationships/hyperlink" Target="https://www.untitledui.com/react/components/alerts;%20https://www.untitledui.com/react/components/notifications" TargetMode="External"/><Relationship Id="rId424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425" Type="http://schemas.openxmlformats.org/officeDocument/2006/relationships/hyperlink" Target="https://www.untitledui.com/react/components/tables;%20https://www.untitledui.com/react/components/paginations" TargetMode="External"/><Relationship Id="rId426" Type="http://schemas.openxmlformats.org/officeDocument/2006/relationships/hyperlink" Target="https://www.untitledui.com/react/components/tables;%20https://www.untitledui.com/react/components/paginations" TargetMode="External"/><Relationship Id="rId427" Type="http://schemas.openxmlformats.org/officeDocument/2006/relationships/hyperlink" Target="https://www.untitledui.com/react/components/modals;%20https://www.untitledui.com/react/components/buttons" TargetMode="External"/><Relationship Id="rId428" Type="http://schemas.openxmlformats.org/officeDocument/2006/relationships/hyperlink" Target="https://www.untitledui.com/react/components/activity-feeds;%20https://www.untitledui.com/react/components/dropdowns" TargetMode="External"/><Relationship Id="rId429" Type="http://schemas.openxmlformats.org/officeDocument/2006/relationships/hyperlink" Target="https://www.untitledui.com/react/components/metrics;%20https://www.untitledui.com/react/components/tooltips" TargetMode="External"/><Relationship Id="rId430" Type="http://schemas.openxmlformats.org/officeDocument/2006/relationships/hyperlink" Target="https://www.untitledui.com/react/components/modals;%20https://www.untitledui.com/react/components/buttons" TargetMode="External"/><Relationship Id="rId431" Type="http://schemas.openxmlformats.org/officeDocument/2006/relationships/hyperlink" Target="https://www.untitledui.com/react/components/tables;%20https://www.untitledui.com/react/components/paginations" TargetMode="External"/><Relationship Id="rId432" Type="http://schemas.openxmlformats.org/officeDocument/2006/relationships/hyperlink" Target="https://www.untitledui.com/react/components/activity-feeds;%20https://www.untitledui.com/react/components/dropdowns" TargetMode="External"/><Relationship Id="rId433" Type="http://schemas.openxmlformats.org/officeDocument/2006/relationships/hyperlink" Target="https://www.untitledui.com/react/components/metrics;%20https://www.untitledui.com/react/components/tooltips" TargetMode="External"/><Relationship Id="rId43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35" Type="http://schemas.openxmlformats.org/officeDocument/2006/relationships/hyperlink" Target="https://www.untitledui.com/react/components/tables;%20https://www.untitledui.com/react/components/paginations" TargetMode="External"/><Relationship Id="rId436" Type="http://schemas.openxmlformats.org/officeDocument/2006/relationships/hyperlink" Target="https://www.untitledui.com/react/components/modals;%20https://www.untitledui.com/react/components/buttons" TargetMode="External"/><Relationship Id="rId437" Type="http://schemas.openxmlformats.org/officeDocument/2006/relationships/hyperlink" Target="https://www.untitledui.com/react/components/metrics;%20https://www.untitledui.com/react/components/tooltips" TargetMode="External"/><Relationship Id="rId438" Type="http://schemas.openxmlformats.org/officeDocument/2006/relationships/hyperlink" Target="https://www.untitledui.com/react/components/tables;%20https://www.untitledui.com/react/components/paginations" TargetMode="External"/><Relationship Id="rId439" Type="http://schemas.openxmlformats.org/officeDocument/2006/relationships/hyperlink" Target="https://www.untitledui.com/react/components/modals;%20https://www.untitledui.com/react/components/buttons" TargetMode="External"/><Relationship Id="rId440" Type="http://schemas.openxmlformats.org/officeDocument/2006/relationships/hyperlink" Target="https://www.untitledui.com/react/components/activity-feeds;%20https://www.untitledui.com/react/components/dropdowns" TargetMode="External"/><Relationship Id="rId441" Type="http://schemas.openxmlformats.org/officeDocument/2006/relationships/hyperlink" Target="https://www.untitledui.com/react/components/metrics;%20https://www.untitledui.com/react/components/tooltips" TargetMode="External"/><Relationship Id="rId44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4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44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45" Type="http://schemas.openxmlformats.org/officeDocument/2006/relationships/hyperlink" Target="https://www.untitledui.com/react/components/tables;%20https://www.untitledui.com/react/components/paginations" TargetMode="External"/><Relationship Id="rId446" Type="http://schemas.openxmlformats.org/officeDocument/2006/relationships/hyperlink" Target="https://www.untitledui.com/react/components/sidebar-navigations" TargetMode="External"/><Relationship Id="rId447" Type="http://schemas.openxmlformats.org/officeDocument/2006/relationships/hyperlink" Target="https://www.untitledui.com/react/components/page-headers;%20https://www.untitledui.com/react/components/section-headers" TargetMode="External"/><Relationship Id="rId448" Type="http://schemas.openxmlformats.org/officeDocument/2006/relationships/hyperlink" Target="https://www.untitledui.com/react/components/section-headers;%20https://www.untitledui.com/react/components/content-dividers" TargetMode="External"/><Relationship Id="rId449" Type="http://schemas.openxmlformats.org/officeDocument/2006/relationships/hyperlink" Target="https://www.untitledui.com/react/components/section-headers;%20https://www.untitledui.com/react/components/content-dividers" TargetMode="External"/><Relationship Id="rId45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451" Type="http://schemas.openxmlformats.org/officeDocument/2006/relationships/hyperlink" Target="https://www.untitledui.com/react/components/section-headers;%20https://www.untitledui.com/react/components/content-dividers" TargetMode="External"/><Relationship Id="rId45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5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54" Type="http://schemas.openxmlformats.org/officeDocument/2006/relationships/hyperlink" Target="https://www.untitledui.com/react/components/section-headers;%20https://www.untitledui.com/react/components/content-dividers" TargetMode="External"/><Relationship Id="rId455" Type="http://schemas.openxmlformats.org/officeDocument/2006/relationships/hyperlink" Target="https://www.untitledui.com/react/components/tables;%20https://www.untitledui.com/react/components/radio-groups;%20https://www.untitledui.com/react/components/buttons" TargetMode="External"/><Relationship Id="rId456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57" Type="http://schemas.openxmlformats.org/officeDocument/2006/relationships/hyperlink" Target="https://www.untitledui.com/react/components/section-headers;%20https://www.untitledui.com/react/components/content-dividers" TargetMode="External"/><Relationship Id="rId45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59" Type="http://schemas.openxmlformats.org/officeDocument/2006/relationships/hyperlink" Target="https://www.untitledui.com/react/components/page-headers;%20https://www.untitledui.com/react/components/section-headers" TargetMode="External"/><Relationship Id="rId46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61" Type="http://schemas.openxmlformats.org/officeDocument/2006/relationships/hyperlink" Target="https://www.untitledui.com/react/components/alerts;%20https://www.untitledui.com/react/components/notifications" TargetMode="External"/><Relationship Id="rId462" Type="http://schemas.openxmlformats.org/officeDocument/2006/relationships/hyperlink" Target="https://www.untitledui.com/react/components/section-headers;%20https://www.untitledui.com/react/components/content-dividers" TargetMode="External"/><Relationship Id="rId463" Type="http://schemas.openxmlformats.org/officeDocument/2006/relationships/hyperlink" Target="https://www.untitledui.com/react/components/page-headers;%20https://www.untitledui.com/react/components/section-headers" TargetMode="External"/><Relationship Id="rId464" Type="http://schemas.openxmlformats.org/officeDocument/2006/relationships/hyperlink" Target="https://www.untitledui.com/react/components/progress-steps;%20https://www.untitledui.com/react/components/progress-indicators" TargetMode="External"/><Relationship Id="rId46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66" Type="http://schemas.openxmlformats.org/officeDocument/2006/relationships/hyperlink" Target="https://www.untitledui.com/react/components/page-headers;%20https://www.untitledui.com/react/components/section-headers" TargetMode="External"/><Relationship Id="rId467" Type="http://schemas.openxmlformats.org/officeDocument/2006/relationships/hyperlink" Target="https://www.untitledui.com/react/components/section-headers;%20https://www.untitledui.com/react/components/content-dividers" TargetMode="External"/><Relationship Id="rId46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69" Type="http://schemas.openxmlformats.org/officeDocument/2006/relationships/hyperlink" Target="https://www.untitledui.com/react/components/alerts;%20https://www.untitledui.com/react/components/notifications" TargetMode="External"/><Relationship Id="rId470" Type="http://schemas.openxmlformats.org/officeDocument/2006/relationships/hyperlink" Target="https://www.untitledui.com/react/components/progress-steps;%20https://www.untitledui.com/react/components/progress-indicators" TargetMode="External"/><Relationship Id="rId471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47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73" Type="http://schemas.openxmlformats.org/officeDocument/2006/relationships/hyperlink" Target="https://www.untitledui.com/react/components/sidebar-navigations" TargetMode="External"/><Relationship Id="rId474" Type="http://schemas.openxmlformats.org/officeDocument/2006/relationships/hyperlink" Target="https://www.untitledui.com/react/components/page-headers;%20https://www.untitledui.com/react/components/section-headers" TargetMode="External"/><Relationship Id="rId475" Type="http://schemas.openxmlformats.org/officeDocument/2006/relationships/hyperlink" Target="https://www.untitledui.com/react/components/tables;%20https://www.untitledui.com/react/components/paginations" TargetMode="External"/><Relationship Id="rId476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77" Type="http://schemas.openxmlformats.org/officeDocument/2006/relationships/hyperlink" Target="https://www.untitledui.com/react/components/page-headers;%20https://www.untitledui.com/react/components/section-headers" TargetMode="External"/><Relationship Id="rId47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47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8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81" Type="http://schemas.openxmlformats.org/officeDocument/2006/relationships/hyperlink" Target="https://www.untitledui.com/react/components/section-headers;%20https://www.untitledui.com/react/components/content-dividers" TargetMode="External"/><Relationship Id="rId482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8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84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8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8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87" Type="http://schemas.openxmlformats.org/officeDocument/2006/relationships/hyperlink" Target="https://www.untitledui.com/react/components/tabs" TargetMode="External"/><Relationship Id="rId488" Type="http://schemas.openxmlformats.org/officeDocument/2006/relationships/hyperlink" Target="https://www.untitledui.com/react/components/tabs" TargetMode="External"/><Relationship Id="rId489" Type="http://schemas.openxmlformats.org/officeDocument/2006/relationships/hyperlink" Target="https://www.untitledui.com/react/components/tabs" TargetMode="External"/><Relationship Id="rId490" Type="http://schemas.openxmlformats.org/officeDocument/2006/relationships/hyperlink" Target="https://www.untitledui.com/react/components/tabs" TargetMode="External"/><Relationship Id="rId491" Type="http://schemas.openxmlformats.org/officeDocument/2006/relationships/hyperlink" Target="https://www.untitledui.com/react/components/tabs" TargetMode="External"/><Relationship Id="rId492" Type="http://schemas.openxmlformats.org/officeDocument/2006/relationships/hyperlink" Target="https://www.untitledui.com/react/components/tabs" TargetMode="External"/><Relationship Id="rId493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titledui.com/react/components/page-headers;%20https://www.untitledui.com/react/components/section-headers" TargetMode="External"/><Relationship Id="rId2" Type="http://schemas.openxmlformats.org/officeDocument/2006/relationships/hyperlink" Target="https://www.untitledui.com/react/components/sidebar-navigations" TargetMode="External"/><Relationship Id="rId3" Type="http://schemas.openxmlformats.org/officeDocument/2006/relationships/hyperlink" Target="https://www.untitledui.com/react/components/command-menus" TargetMode="External"/><Relationship Id="rId4" Type="http://schemas.openxmlformats.org/officeDocument/2006/relationships/hyperlink" Target="https://www.untitledui.com/react/components/page-headers;%20https://www.untitledui.com/react/components/section-headers" TargetMode="External"/><Relationship Id="rId5" Type="http://schemas.openxmlformats.org/officeDocument/2006/relationships/hyperlink" Target="https://www.untitledui.com/react/components/avatars;%20https://www.untitledui.com/react/components/badges;%20https://www.untitledui.com/react/components/dropdowns" TargetMode="External"/><Relationship Id="rId6" Type="http://schemas.openxmlformats.org/officeDocument/2006/relationships/hyperlink" Target="https://www.untitledui.com/react/components/sidebar-navigations" TargetMode="External"/><Relationship Id="rId7" Type="http://schemas.openxmlformats.org/officeDocument/2006/relationships/hyperlink" Target="https://www.untitledui.com/react/components/drawers;%20https://www.untitledui.com/react/components/section-footers" TargetMode="External"/><Relationship Id="rId8" Type="http://schemas.openxmlformats.org/officeDocument/2006/relationships/hyperlink" Target="https://www.untitledui.com/react/components/tables;%20https://www.untitledui.com/react/components/paginations" TargetMode="External"/><Relationship Id="rId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0" Type="http://schemas.openxmlformats.org/officeDocument/2006/relationships/hyperlink" Target="https://www.untitledui.com/react/components/modals;%20https://www.untitledui.com/react/components/buttons" TargetMode="External"/><Relationship Id="rId11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12" Type="http://schemas.openxmlformats.org/officeDocument/2006/relationships/hyperlink" Target="https://www.untitledui.com/react/components/alerts;%20https://www.untitledui.com/react/components/notifications" TargetMode="External"/><Relationship Id="rId13" Type="http://schemas.openxmlformats.org/officeDocument/2006/relationships/hyperlink" Target="https://www.untitledui.com/react/components/alerts;%20https://www.untitledui.com/react/components/notifications" TargetMode="External"/><Relationship Id="rId14" Type="http://schemas.openxmlformats.org/officeDocument/2006/relationships/hyperlink" Target="https://www.untitledui.com/react/components/alerts;%20https://www.untitledui.com/react/components/notifications" TargetMode="External"/><Relationship Id="rId15" Type="http://schemas.openxmlformats.org/officeDocument/2006/relationships/hyperlink" Target="https://www.untitledui.com/react/components/page-headers;%20https://www.untitledui.com/react/components/section-headers" TargetMode="External"/><Relationship Id="rId16" Type="http://schemas.openxmlformats.org/officeDocument/2006/relationships/hyperlink" Target="https://www.untitledui.com/react/components/tabs" TargetMode="External"/><Relationship Id="rId1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8" Type="http://schemas.openxmlformats.org/officeDocument/2006/relationships/hyperlink" Target="https://www.untitledui.com/react/components/line-bar-charts" TargetMode="External"/><Relationship Id="rId19" Type="http://schemas.openxmlformats.org/officeDocument/2006/relationships/hyperlink" Target="https://www.untitledui.com/react/components/metrics;%20https://www.untitledui.com/react/components/tooltips" TargetMode="External"/><Relationship Id="rId2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2" Type="http://schemas.openxmlformats.org/officeDocument/2006/relationships/hyperlink" Target="https://www.untitledui.com/react/components/line-bar-charts" TargetMode="External"/><Relationship Id="rId23" Type="http://schemas.openxmlformats.org/officeDocument/2006/relationships/hyperlink" Target="https://www.untitledui.com/react/components/activity-feeds;%20https://www.untitledui.com/react/components/dropdowns" TargetMode="External"/><Relationship Id="rId24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5" Type="http://schemas.openxmlformats.org/officeDocument/2006/relationships/hyperlink" Target="https://www.untitledui.com/react/components/page-headers;%20https://www.untitledui.com/react/components/section-headers" TargetMode="External"/><Relationship Id="rId26" Type="http://schemas.openxmlformats.org/officeDocument/2006/relationships/hyperlink" Target="https://www.untitledui.com/react/components/metrics;%20https://www.untitledui.com/react/components/tooltips" TargetMode="External"/><Relationship Id="rId27" Type="http://schemas.openxmlformats.org/officeDocument/2006/relationships/hyperlink" Target="https://www.untitledui.com/react/components/tabs" TargetMode="External"/><Relationship Id="rId28" Type="http://schemas.openxmlformats.org/officeDocument/2006/relationships/hyperlink" Target="https://www.untitledui.com/react/components/metrics;%20https://www.untitledui.com/react/components/tooltips" TargetMode="External"/><Relationship Id="rId2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30" Type="http://schemas.openxmlformats.org/officeDocument/2006/relationships/hyperlink" Target="https://www.untitledui.com/react/components/drawers;%20https://www.untitledui.com/react/components/section-footers" TargetMode="External"/><Relationship Id="rId31" Type="http://schemas.openxmlformats.org/officeDocument/2006/relationships/hyperlink" Target="https://www.untitledui.com/react/components/tables;%20https://www.untitledui.com/react/components/paginations" TargetMode="External"/><Relationship Id="rId32" Type="http://schemas.openxmlformats.org/officeDocument/2006/relationships/hyperlink" Target="https://www.untitledui.com/react/components/alerts;%20https://www.untitledui.com/react/components/notifications" TargetMode="External"/><Relationship Id="rId3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4" Type="http://schemas.openxmlformats.org/officeDocument/2006/relationships/hyperlink" Target="https://www.untitledui.com/react/components/page-headers;%20https://www.untitledui.com/react/components/section-headers" TargetMode="External"/><Relationship Id="rId35" Type="http://schemas.openxmlformats.org/officeDocument/2006/relationships/hyperlink" Target="https://www.untitledui.com/react/components/metrics;%20https://www.untitledui.com/react/components/tooltips" TargetMode="External"/><Relationship Id="rId3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" Type="http://schemas.openxmlformats.org/officeDocument/2006/relationships/hyperlink" Target="https://www.untitledui.com/react/components/line-bar-charts" TargetMode="External"/><Relationship Id="rId3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3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0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1" Type="http://schemas.openxmlformats.org/officeDocument/2006/relationships/hyperlink" Target="https://www.untitledui.com/react/components/page-headers;%20https://www.untitledui.com/react/components/section-headers" TargetMode="External"/><Relationship Id="rId42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4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4" Type="http://schemas.openxmlformats.org/officeDocument/2006/relationships/hyperlink" Target="https://www.untitledui.com/react/components/metrics;%20https://www.untitledui.com/react/components/tooltips" TargetMode="External"/><Relationship Id="rId45" Type="http://schemas.openxmlformats.org/officeDocument/2006/relationships/hyperlink" Target="https://www.untitledui.com/react/components/tables;%20https://www.untitledui.com/react/components/paginations" TargetMode="External"/><Relationship Id="rId46" Type="http://schemas.openxmlformats.org/officeDocument/2006/relationships/hyperlink" Target="https://www.untitledui.com/react/components/page-headers;%20https://www.untitledui.com/react/components/section-headers" TargetMode="External"/><Relationship Id="rId47" Type="http://schemas.openxmlformats.org/officeDocument/2006/relationships/hyperlink" Target="https://www.untitledui.com/react/components/tables;%20https://www.untitledui.com/react/components/paginations" TargetMode="External"/><Relationship Id="rId48" Type="http://schemas.openxmlformats.org/officeDocument/2006/relationships/hyperlink" Target="https://www.untitledui.com/react/components/section-headers;%20https://www.untitledui.com/react/components/content-dividers" TargetMode="External"/><Relationship Id="rId49" Type="http://schemas.openxmlformats.org/officeDocument/2006/relationships/hyperlink" Target="https://www.untitledui.com/react/components/progress-steps;%20https://www.untitledui.com/react/components/progress-indicators" TargetMode="External"/><Relationship Id="rId5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51" Type="http://schemas.openxmlformats.org/officeDocument/2006/relationships/hyperlink" Target="https://www.untitledui.com/react/components/tables;%20https://www.untitledui.com/react/components/paginations" TargetMode="External"/><Relationship Id="rId52" Type="http://schemas.openxmlformats.org/officeDocument/2006/relationships/hyperlink" Target="https://www.untitledui.com/react/components/alerts;%20https://www.untitledui.com/react/components/notifications" TargetMode="External"/><Relationship Id="rId5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54" Type="http://schemas.openxmlformats.org/officeDocument/2006/relationships/hyperlink" Target="https://www.untitledui.com/react/components/tables;%20https://www.untitledui.com/react/components/paginations" TargetMode="External"/><Relationship Id="rId55" Type="http://schemas.openxmlformats.org/officeDocument/2006/relationships/hyperlink" Target="https://www.untitledui.com/react/components/drawers;%20https://www.untitledui.com/react/components/section-footers" TargetMode="External"/><Relationship Id="rId56" Type="http://schemas.openxmlformats.org/officeDocument/2006/relationships/hyperlink" Target="https://www.untitledui.com/react/components/modals;%20https://www.untitledui.com/react/components/buttons" TargetMode="External"/><Relationship Id="rId57" Type="http://schemas.openxmlformats.org/officeDocument/2006/relationships/hyperlink" Target="https://www.untitledui.com/react/components/tables;%20https://www.untitledui.com/react/components/paginations" TargetMode="External"/><Relationship Id="rId5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59" Type="http://schemas.openxmlformats.org/officeDocument/2006/relationships/hyperlink" Target="https://www.untitledui.com/react/components/modals;%20https://www.untitledui.com/react/components/buttons" TargetMode="External"/><Relationship Id="rId60" Type="http://schemas.openxmlformats.org/officeDocument/2006/relationships/hyperlink" Target="https://www.untitledui.com/react/components/drawers;%20https://www.untitledui.com/react/components/section-footers" TargetMode="External"/><Relationship Id="rId61" Type="http://schemas.openxmlformats.org/officeDocument/2006/relationships/hyperlink" Target="https://www.untitledui.com/react/components/page-headers;%20https://www.untitledui.com/react/components/section-headers" TargetMode="External"/><Relationship Id="rId62" Type="http://schemas.openxmlformats.org/officeDocument/2006/relationships/hyperlink" Target="https://www.untitledui.com/react/components/tabs" TargetMode="External"/><Relationship Id="rId6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6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6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66" Type="http://schemas.openxmlformats.org/officeDocument/2006/relationships/hyperlink" Target="https://www.untitledui.com/react/components/tabs" TargetMode="External"/><Relationship Id="rId6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6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6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70" Type="http://schemas.openxmlformats.org/officeDocument/2006/relationships/hyperlink" Target="https://www.untitledui.com/react/components/tables;%20https://www.untitledui.com/react/components/paginations" TargetMode="External"/><Relationship Id="rId7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72" Type="http://schemas.openxmlformats.org/officeDocument/2006/relationships/hyperlink" Target="https://www.untitledui.com/react/components/sliders;%20https://www.untitledui.com/react/components/inputs" TargetMode="External"/><Relationship Id="rId73" Type="http://schemas.openxmlformats.org/officeDocument/2006/relationships/hyperlink" Target="https://www.untitledui.com/react/components/tables;%20https://www.untitledui.com/react/components/paginations" TargetMode="External"/><Relationship Id="rId74" Type="http://schemas.openxmlformats.org/officeDocument/2006/relationships/hyperlink" Target="https://www.untitledui.com/react/components/line-bar-charts" TargetMode="External"/><Relationship Id="rId75" Type="http://schemas.openxmlformats.org/officeDocument/2006/relationships/hyperlink" Target="https://www.untitledui.com/react/components/activity-feeds;%20https://www.untitledui.com/react/components/dropdowns" TargetMode="External"/><Relationship Id="rId76" Type="http://schemas.openxmlformats.org/officeDocument/2006/relationships/hyperlink" Target="https://www.untitledui.com/react/components/metrics;%20https://www.untitledui.com/react/components/tooltips" TargetMode="External"/><Relationship Id="rId77" Type="http://schemas.openxmlformats.org/officeDocument/2006/relationships/hyperlink" Target="https://www.untitledui.com/react/components/page-headers;%20https://www.untitledui.com/react/components/section-headers" TargetMode="External"/><Relationship Id="rId78" Type="http://schemas.openxmlformats.org/officeDocument/2006/relationships/hyperlink" Target="https://www.untitledui.com/react/components/metrics;%20https://www.untitledui.com/react/components/tooltips" TargetMode="External"/><Relationship Id="rId79" Type="http://schemas.openxmlformats.org/officeDocument/2006/relationships/hyperlink" Target="https://www.untitledui.com/react/components/tabs" TargetMode="External"/><Relationship Id="rId8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81" Type="http://schemas.openxmlformats.org/officeDocument/2006/relationships/hyperlink" Target="https://www.untitledui.com/react/components/tables;%20https://www.untitledui.com/react/components/paginations" TargetMode="External"/><Relationship Id="rId82" Type="http://schemas.openxmlformats.org/officeDocument/2006/relationships/hyperlink" Target="https://www.untitledui.com/react/components/line-bar-charts" TargetMode="External"/><Relationship Id="rId83" Type="http://schemas.openxmlformats.org/officeDocument/2006/relationships/hyperlink" Target="https://www.untitledui.com/react/components/page-headers;%20https://www.untitledui.com/react/components/section-headers" TargetMode="External"/><Relationship Id="rId84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85" Type="http://schemas.openxmlformats.org/officeDocument/2006/relationships/hyperlink" Target="https://www.untitledui.com/react/components/metrics;%20https://www.untitledui.com/react/components/tooltips" TargetMode="External"/><Relationship Id="rId86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87" Type="http://schemas.openxmlformats.org/officeDocument/2006/relationships/hyperlink" Target="https://www.untitledui.com/react/components/line-bar-charts" TargetMode="External"/><Relationship Id="rId88" Type="http://schemas.openxmlformats.org/officeDocument/2006/relationships/hyperlink" Target="https://www.untitledui.com/react/components/line-bar-charts" TargetMode="External"/><Relationship Id="rId89" Type="http://schemas.openxmlformats.org/officeDocument/2006/relationships/hyperlink" Target="https://www.untitledui.com/react/components/tables;%20https://www.untitledui.com/react/components/paginations" TargetMode="External"/><Relationship Id="rId90" Type="http://schemas.openxmlformats.org/officeDocument/2006/relationships/hyperlink" Target="https://www.untitledui.com/react/components/line-bar-charts" TargetMode="External"/><Relationship Id="rId91" Type="http://schemas.openxmlformats.org/officeDocument/2006/relationships/hyperlink" Target="https://www.untitledui.com/react/components/tables;%20https://www.untitledui.com/react/components/paginations" TargetMode="External"/><Relationship Id="rId92" Type="http://schemas.openxmlformats.org/officeDocument/2006/relationships/hyperlink" Target="https://www.untitledui.com/react/components/page-headers;%20https://www.untitledui.com/react/components/section-headers" TargetMode="External"/><Relationship Id="rId93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94" Type="http://schemas.openxmlformats.org/officeDocument/2006/relationships/hyperlink" Target="https://www.untitledui.com/react/components/tables;%20https://www.untitledui.com/react/components/paginations" TargetMode="External"/><Relationship Id="rId95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9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97" Type="http://schemas.openxmlformats.org/officeDocument/2006/relationships/hyperlink" Target="https://www.untitledui.com/react/components/drawers;%20https://www.untitledui.com/react/components/section-footers" TargetMode="External"/><Relationship Id="rId98" Type="http://schemas.openxmlformats.org/officeDocument/2006/relationships/hyperlink" Target="https://www.untitledui.com/react/components/alerts;%20https://www.untitledui.com/react/components/notifications" TargetMode="External"/><Relationship Id="rId99" Type="http://schemas.openxmlformats.org/officeDocument/2006/relationships/hyperlink" Target="https://www.untitledui.com/react/components/metrics;%20https://www.untitledui.com/react/components/tooltips" TargetMode="External"/><Relationship Id="rId10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0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4" Type="http://schemas.openxmlformats.org/officeDocument/2006/relationships/hyperlink" Target="https://www.untitledui.com/react/components/line-bar-charts" TargetMode="External"/><Relationship Id="rId10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06" Type="http://schemas.openxmlformats.org/officeDocument/2006/relationships/hyperlink" Target="https://www.untitledui.com/react/components/modals;%20https://www.untitledui.com/react/components/buttons" TargetMode="External"/><Relationship Id="rId107" Type="http://schemas.openxmlformats.org/officeDocument/2006/relationships/hyperlink" Target="https://www.untitledui.com/react/components/tables;%20https://www.untitledui.com/react/components/paginations" TargetMode="External"/><Relationship Id="rId10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09" Type="http://schemas.openxmlformats.org/officeDocument/2006/relationships/hyperlink" Target="https://www.untitledui.com/react/components/alerts;%20https://www.untitledui.com/react/components/notifications" TargetMode="External"/><Relationship Id="rId11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1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12" Type="http://schemas.openxmlformats.org/officeDocument/2006/relationships/hyperlink" Target="https://www.untitledui.com/react/components/page-headers;%20https://www.untitledui.com/react/components/section-headers" TargetMode="External"/><Relationship Id="rId11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14" Type="http://schemas.openxmlformats.org/officeDocument/2006/relationships/hyperlink" Target="https://www.untitledui.com/react/components/tables;%20https://www.untitledui.com/react/components/paginations" TargetMode="External"/><Relationship Id="rId115" Type="http://schemas.openxmlformats.org/officeDocument/2006/relationships/hyperlink" Target="https://www.untitledui.com/react/components/section-headers;%20https://www.untitledui.com/react/components/content-dividers" TargetMode="External"/><Relationship Id="rId116" Type="http://schemas.openxmlformats.org/officeDocument/2006/relationships/hyperlink" Target="https://www.untitledui.com/react/components/progress-steps;%20https://www.untitledui.com/react/components/progress-indicators" TargetMode="External"/><Relationship Id="rId117" Type="http://schemas.openxmlformats.org/officeDocument/2006/relationships/hyperlink" Target="https://www.untitledui.com/react/components/drawers;%20https://www.untitledui.com/react/components/section-footers" TargetMode="External"/><Relationship Id="rId118" Type="http://schemas.openxmlformats.org/officeDocument/2006/relationships/hyperlink" Target="https://www.untitledui.com/react/components/metrics;%20https://www.untitledui.com/react/components/tooltips" TargetMode="External"/><Relationship Id="rId11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120" Type="http://schemas.openxmlformats.org/officeDocument/2006/relationships/hyperlink" Target="https://www.untitledui.com/react/components/page-headers;%20https://www.untitledui.com/react/components/section-headers" TargetMode="External"/><Relationship Id="rId121" Type="http://schemas.openxmlformats.org/officeDocument/2006/relationships/hyperlink" Target="https://www.untitledui.com/react/components/progress-steps;%20https://www.untitledui.com/react/components/progress-indicators" TargetMode="External"/><Relationship Id="rId12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23" Type="http://schemas.openxmlformats.org/officeDocument/2006/relationships/hyperlink" Target="https://www.untitledui.com/react/components/page-headers;%20https://www.untitledui.com/react/components/section-headers" TargetMode="External"/><Relationship Id="rId12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2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26" Type="http://schemas.openxmlformats.org/officeDocument/2006/relationships/hyperlink" Target="https://www.untitledui.com/react/components/tables;%20https://www.untitledui.com/react/components/paginations" TargetMode="External"/><Relationship Id="rId127" Type="http://schemas.openxmlformats.org/officeDocument/2006/relationships/hyperlink" Target="https://www.untitledui.com/react/components/messaging;%20https://www.untitledui.com/react/components/drawers" TargetMode="External"/><Relationship Id="rId128" Type="http://schemas.openxmlformats.org/officeDocument/2006/relationships/hyperlink" Target="https://www.untitledui.com/react/components/alerts;%20https://www.untitledui.com/react/components/notifications" TargetMode="External"/><Relationship Id="rId129" Type="http://schemas.openxmlformats.org/officeDocument/2006/relationships/hyperlink" Target="https://www.untitledui.com/react/components/tables;%20https://www.untitledui.com/react/components/paginations" TargetMode="External"/><Relationship Id="rId13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31" Type="http://schemas.openxmlformats.org/officeDocument/2006/relationships/hyperlink" Target="https://www.untitledui.com/react/components/page-headers;%20https://www.untitledui.com/react/components/section-headers" TargetMode="External"/><Relationship Id="rId13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33" Type="http://schemas.openxmlformats.org/officeDocument/2006/relationships/hyperlink" Target="https://www.untitledui.com/react/components/alerts;%20https://www.untitledui.com/react/components/notifications" TargetMode="External"/><Relationship Id="rId134" Type="http://schemas.openxmlformats.org/officeDocument/2006/relationships/hyperlink" Target="https://www.untitledui.com/react/components/tables;%20https://www.untitledui.com/react/components/paginations" TargetMode="External"/><Relationship Id="rId135" Type="http://schemas.openxmlformats.org/officeDocument/2006/relationships/hyperlink" Target="https://www.untitledui.com/react/components/select" TargetMode="External"/><Relationship Id="rId136" Type="http://schemas.openxmlformats.org/officeDocument/2006/relationships/hyperlink" Target="https://www.untitledui.com/react/components/tables;%20https://www.untitledui.com/react/components/paginations" TargetMode="External"/><Relationship Id="rId13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38" Type="http://schemas.openxmlformats.org/officeDocument/2006/relationships/hyperlink" Target="https://www.untitledui.com/react/components/activity-feeds;%20https://www.untitledui.com/react/components/dropdowns" TargetMode="External"/><Relationship Id="rId139" Type="http://schemas.openxmlformats.org/officeDocument/2006/relationships/hyperlink" Target="https://www.untitledui.com/react/components/messaging;%20https://www.untitledui.com/react/components/drawers" TargetMode="External"/><Relationship Id="rId14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41" Type="http://schemas.openxmlformats.org/officeDocument/2006/relationships/hyperlink" Target="https://www.untitledui.com/react/components/drawers;%20https://www.untitledui.com/react/components/section-footers" TargetMode="External"/><Relationship Id="rId142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143" Type="http://schemas.openxmlformats.org/officeDocument/2006/relationships/hyperlink" Target="https://www.untitledui.com/react/components/page-headers;%20https://www.untitledui.com/react/components/section-headers" TargetMode="External"/><Relationship Id="rId14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4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4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47" Type="http://schemas.openxmlformats.org/officeDocument/2006/relationships/hyperlink" Target="https://www.untitledui.com/react/components/metrics;%20https://www.untitledui.com/react/components/tooltips" TargetMode="External"/><Relationship Id="rId148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4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50" Type="http://schemas.openxmlformats.org/officeDocument/2006/relationships/hyperlink" Target="https://www.untitledui.com/react/components/tables;%20https://www.untitledui.com/react/components/paginations" TargetMode="External"/><Relationship Id="rId151" Type="http://schemas.openxmlformats.org/officeDocument/2006/relationships/hyperlink" Target="https://www.untitledui.com/react/components/drawers;%20https://www.untitledui.com/react/components/section-footers" TargetMode="External"/><Relationship Id="rId152" Type="http://schemas.openxmlformats.org/officeDocument/2006/relationships/hyperlink" Target="https://www.untitledui.com/react/components/modals;%20https://www.untitledui.com/react/components/buttons" TargetMode="External"/><Relationship Id="rId15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54" Type="http://schemas.openxmlformats.org/officeDocument/2006/relationships/hyperlink" Target="https://www.untitledui.com/react/components/metrics;%20https://www.untitledui.com/react/components/tooltips" TargetMode="External"/><Relationship Id="rId155" Type="http://schemas.openxmlformats.org/officeDocument/2006/relationships/hyperlink" Target="https://www.untitledui.com/react/components/tables;%20https://www.untitledui.com/react/components/paginations" TargetMode="External"/><Relationship Id="rId15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5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58" Type="http://schemas.openxmlformats.org/officeDocument/2006/relationships/hyperlink" Target="https://www.untitledui.com/react/components/tables;%20https://www.untitledui.com/react/components/paginations" TargetMode="External"/><Relationship Id="rId159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60" Type="http://schemas.openxmlformats.org/officeDocument/2006/relationships/hyperlink" Target="https://www.untitledui.com/react/components/alerts;%20https://www.untitledui.com/react/components/notifications" TargetMode="External"/><Relationship Id="rId161" Type="http://schemas.openxmlformats.org/officeDocument/2006/relationships/hyperlink" Target="https://www.untitledui.com/react/components/tables;%20https://www.untitledui.com/react/components/paginations" TargetMode="External"/><Relationship Id="rId16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63" Type="http://schemas.openxmlformats.org/officeDocument/2006/relationships/hyperlink" Target="https://www.untitledui.com/react/components/line-bar-charts" TargetMode="External"/><Relationship Id="rId16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65" Type="http://schemas.openxmlformats.org/officeDocument/2006/relationships/hyperlink" Target="https://www.untitledui.com/react/components/tabs" TargetMode="External"/><Relationship Id="rId166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67" Type="http://schemas.openxmlformats.org/officeDocument/2006/relationships/hyperlink" Target="https://www.untitledui.com/react/components/line-bar-charts" TargetMode="External"/><Relationship Id="rId168" Type="http://schemas.openxmlformats.org/officeDocument/2006/relationships/hyperlink" Target="https://www.untitledui.com/react/components/tables;%20https://www.untitledui.com/react/components/paginations" TargetMode="External"/><Relationship Id="rId169" Type="http://schemas.openxmlformats.org/officeDocument/2006/relationships/hyperlink" Target="https://www.untitledui.com/react/components/tables;%20https://www.untitledui.com/react/components/paginations" TargetMode="External"/><Relationship Id="rId170" Type="http://schemas.openxmlformats.org/officeDocument/2006/relationships/hyperlink" Target="https://www.untitledui.com/react/components/modals;%20https://www.untitledui.com/react/components/buttons" TargetMode="External"/><Relationship Id="rId171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172" Type="http://schemas.openxmlformats.org/officeDocument/2006/relationships/hyperlink" Target="https://www.untitledui.com/react/components/metrics;%20https://www.untitledui.com/react/components/tooltips" TargetMode="External"/><Relationship Id="rId173" Type="http://schemas.openxmlformats.org/officeDocument/2006/relationships/hyperlink" Target="https://www.untitledui.com/react/components/line-bar-charts" TargetMode="External"/><Relationship Id="rId174" Type="http://schemas.openxmlformats.org/officeDocument/2006/relationships/hyperlink" Target="https://www.untitledui.com/react/components/line-bar-charts" TargetMode="External"/><Relationship Id="rId17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76" Type="http://schemas.openxmlformats.org/officeDocument/2006/relationships/hyperlink" Target="https://www.untitledui.com/react/components/line-bar-charts" TargetMode="External"/><Relationship Id="rId177" Type="http://schemas.openxmlformats.org/officeDocument/2006/relationships/hyperlink" Target="https://www.untitledui.com/react/components/tables;%20https://www.untitledui.com/react/components/paginations" TargetMode="External"/><Relationship Id="rId178" Type="http://schemas.openxmlformats.org/officeDocument/2006/relationships/hyperlink" Target="https://www.untitledui.com/react/components/metrics;%20https://www.untitledui.com/react/components/tooltips" TargetMode="External"/><Relationship Id="rId179" Type="http://schemas.openxmlformats.org/officeDocument/2006/relationships/hyperlink" Target="https://www.untitledui.com/react/components/tables;%20https://www.untitledui.com/react/components/paginations" TargetMode="External"/><Relationship Id="rId180" Type="http://schemas.openxmlformats.org/officeDocument/2006/relationships/hyperlink" Target="https://www.untitledui.com/react/components/tables;%20https://www.untitledui.com/react/components/paginations" TargetMode="External"/><Relationship Id="rId181" Type="http://schemas.openxmlformats.org/officeDocument/2006/relationships/hyperlink" Target="https://www.untitledui.com/react/components/tables;%20https://www.untitledui.com/react/components/paginations" TargetMode="External"/><Relationship Id="rId182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18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84" Type="http://schemas.openxmlformats.org/officeDocument/2006/relationships/hyperlink" Target="https://www.untitledui.com/react/components/sliders;%20https://www.untitledui.com/react/components/inputs" TargetMode="External"/><Relationship Id="rId185" Type="http://schemas.openxmlformats.org/officeDocument/2006/relationships/hyperlink" Target="https://www.untitledui.com/react/components/line-bar-charts" TargetMode="External"/><Relationship Id="rId186" Type="http://schemas.openxmlformats.org/officeDocument/2006/relationships/hyperlink" Target="https://www.untitledui.com/react/components/modals;%20https://www.untitledui.com/react/components/buttons" TargetMode="External"/><Relationship Id="rId187" Type="http://schemas.openxmlformats.org/officeDocument/2006/relationships/hyperlink" Target="https://www.untitledui.com/react/components/page-headers;%20https://www.untitledui.com/react/components/section-headers" TargetMode="External"/><Relationship Id="rId188" Type="http://schemas.openxmlformats.org/officeDocument/2006/relationships/hyperlink" Target="https://www.untitledui.com/react/components/select" TargetMode="External"/><Relationship Id="rId18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90" Type="http://schemas.openxmlformats.org/officeDocument/2006/relationships/hyperlink" Target="https://www.untitledui.com/react/components/tables;%20https://www.untitledui.com/react/components/paginations" TargetMode="External"/><Relationship Id="rId191" Type="http://schemas.openxmlformats.org/officeDocument/2006/relationships/hyperlink" Target="https://www.untitledui.com/react/components/line-bar-charts" TargetMode="External"/><Relationship Id="rId192" Type="http://schemas.openxmlformats.org/officeDocument/2006/relationships/hyperlink" Target="https://www.untitledui.com/react/components/sliders;%20https://www.untitledui.com/react/components/inputs" TargetMode="External"/><Relationship Id="rId19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9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19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196" Type="http://schemas.openxmlformats.org/officeDocument/2006/relationships/hyperlink" Target="https://www.untitledui.com/react/components/page-headers;%20https://www.untitledui.com/react/components/section-headers" TargetMode="External"/><Relationship Id="rId197" Type="http://schemas.openxmlformats.org/officeDocument/2006/relationships/hyperlink" Target="https://www.untitledui.com/react/components/line-bar-charts" TargetMode="External"/><Relationship Id="rId198" Type="http://schemas.openxmlformats.org/officeDocument/2006/relationships/hyperlink" Target="https://www.untitledui.com/react/components/tables;%20https://www.untitledui.com/react/components/paginations" TargetMode="External"/><Relationship Id="rId19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1" Type="http://schemas.openxmlformats.org/officeDocument/2006/relationships/hyperlink" Target="https://www.untitledui.com/react/components/modals;%20https://www.untitledui.com/react/components/buttons" TargetMode="External"/><Relationship Id="rId202" Type="http://schemas.openxmlformats.org/officeDocument/2006/relationships/hyperlink" Target="https://www.untitledui.com/react/components/metrics;%20https://www.untitledui.com/react/components/tooltips" TargetMode="External"/><Relationship Id="rId20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04" Type="http://schemas.openxmlformats.org/officeDocument/2006/relationships/hyperlink" Target="https://www.untitledui.com/react/components/line-bar-charts" TargetMode="External"/><Relationship Id="rId20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06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7" Type="http://schemas.openxmlformats.org/officeDocument/2006/relationships/hyperlink" Target="https://www.untitledui.com/react/components/tables;%20https://www.untitledui.com/react/components/paginations" TargetMode="External"/><Relationship Id="rId20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09" Type="http://schemas.openxmlformats.org/officeDocument/2006/relationships/hyperlink" Target="https://www.untitledui.com/react/components/progress-steps;%20https://www.untitledui.com/react/components/progress-indicators" TargetMode="External"/><Relationship Id="rId21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1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12" Type="http://schemas.openxmlformats.org/officeDocument/2006/relationships/hyperlink" Target="https://www.untitledui.com/react/components/drawers;%20https://www.untitledui.com/react/components/section-footers" TargetMode="External"/><Relationship Id="rId213" Type="http://schemas.openxmlformats.org/officeDocument/2006/relationships/hyperlink" Target="https://www.untitledui.com/react/components/modals;%20https://www.untitledui.com/react/components/buttons" TargetMode="External"/><Relationship Id="rId214" Type="http://schemas.openxmlformats.org/officeDocument/2006/relationships/hyperlink" Target="https://www.untitledui.com/react/components/metrics;%20https://www.untitledui.com/react/components/tooltips" TargetMode="External"/><Relationship Id="rId215" Type="http://schemas.openxmlformats.org/officeDocument/2006/relationships/hyperlink" Target="https://www.untitledui.com/react/components/line-bar-charts" TargetMode="External"/><Relationship Id="rId216" Type="http://schemas.openxmlformats.org/officeDocument/2006/relationships/hyperlink" Target="https://www.untitledui.com/react/components/metrics;%20https://www.untitledui.com/react/components/tooltips" TargetMode="External"/><Relationship Id="rId217" Type="http://schemas.openxmlformats.org/officeDocument/2006/relationships/hyperlink" Target="https://www.untitledui.com/react/components/tables;%20https://www.untitledui.com/react/components/paginations" TargetMode="External"/><Relationship Id="rId21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19" Type="http://schemas.openxmlformats.org/officeDocument/2006/relationships/hyperlink" Target="https://www.untitledui.com/react/components/page-headers;%20https://www.untitledui.com/react/components/section-headers" TargetMode="External"/><Relationship Id="rId220" Type="http://schemas.openxmlformats.org/officeDocument/2006/relationships/hyperlink" Target="https://www.untitledui.com/react/components/radio-groups" TargetMode="External"/><Relationship Id="rId221" Type="http://schemas.openxmlformats.org/officeDocument/2006/relationships/hyperlink" Target="https://www.untitledui.com/react/components/progress-steps;%20https://www.untitledui.com/react/components/progress-indicators" TargetMode="External"/><Relationship Id="rId222" Type="http://schemas.openxmlformats.org/officeDocument/2006/relationships/hyperlink" Target="https://www.untitledui.com/react/components/file-uploaders" TargetMode="External"/><Relationship Id="rId22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2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25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26" Type="http://schemas.openxmlformats.org/officeDocument/2006/relationships/hyperlink" Target="https://www.untitledui.com/react/components/tables;%20https://www.untitledui.com/react/components/paginations" TargetMode="External"/><Relationship Id="rId227" Type="http://schemas.openxmlformats.org/officeDocument/2006/relationships/hyperlink" Target="https://www.untitledui.com/react/components/progress-steps;%20https://www.untitledui.com/react/components/progress-indicators" TargetMode="External"/><Relationship Id="rId228" Type="http://schemas.openxmlformats.org/officeDocument/2006/relationships/hyperlink" Target="https://www.untitledui.com/react/components/tables;%20https://www.untitledui.com/react/components/paginations" TargetMode="External"/><Relationship Id="rId229" Type="http://schemas.openxmlformats.org/officeDocument/2006/relationships/hyperlink" Target="https://www.untitledui.com/react/components/page-headers;%20https://www.untitledui.com/react/components/section-headers" TargetMode="External"/><Relationship Id="rId230" Type="http://schemas.openxmlformats.org/officeDocument/2006/relationships/hyperlink" Target="https://www.untitledui.com/react/components/alerts;%20https://www.untitledui.com/react/components/notifications" TargetMode="External"/><Relationship Id="rId231" Type="http://schemas.openxmlformats.org/officeDocument/2006/relationships/hyperlink" Target="https://www.untitledui.com/react/components/tables;%20https://www.untitledui.com/react/components/paginations" TargetMode="External"/><Relationship Id="rId23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3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34" Type="http://schemas.openxmlformats.org/officeDocument/2006/relationships/hyperlink" Target="https://www.untitledui.com/react/components/tables;%20https://www.untitledui.com/react/components/paginations" TargetMode="External"/><Relationship Id="rId235" Type="http://schemas.openxmlformats.org/officeDocument/2006/relationships/hyperlink" Target="https://www.untitledui.com/react/components/drawers;%20https://www.untitledui.com/react/components/section-footers" TargetMode="External"/><Relationship Id="rId236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37" Type="http://schemas.openxmlformats.org/officeDocument/2006/relationships/hyperlink" Target="https://www.untitledui.com/react/components/tabs" TargetMode="External"/><Relationship Id="rId23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39" Type="http://schemas.openxmlformats.org/officeDocument/2006/relationships/hyperlink" Target="https://www.untitledui.com/react/components/tables;%20https://www.untitledui.com/react/components/paginations" TargetMode="External"/><Relationship Id="rId240" Type="http://schemas.openxmlformats.org/officeDocument/2006/relationships/hyperlink" Target="https://www.untitledui.com/react/components/progress-steps;%20https://www.untitledui.com/react/components/progress-indicators" TargetMode="External"/><Relationship Id="rId24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4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43" Type="http://schemas.openxmlformats.org/officeDocument/2006/relationships/hyperlink" Target="https://www.untitledui.com/react/components/file-uploaders" TargetMode="External"/><Relationship Id="rId24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45" Type="http://schemas.openxmlformats.org/officeDocument/2006/relationships/hyperlink" Target="https://www.untitledui.com/react/components/progress-steps;%20https://www.untitledui.com/react/components/progress-indicators" TargetMode="External"/><Relationship Id="rId246" Type="http://schemas.openxmlformats.org/officeDocument/2006/relationships/hyperlink" Target="https://www.untitledui.com/react/components/page-headers;%20https://www.untitledui.com/react/components/section-headers" TargetMode="External"/><Relationship Id="rId24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4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4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50" Type="http://schemas.openxmlformats.org/officeDocument/2006/relationships/hyperlink" Target="https://www.untitledui.com/react/components/drawers;%20https://www.untitledui.com/react/components/section-footers" TargetMode="External"/><Relationship Id="rId251" Type="http://schemas.openxmlformats.org/officeDocument/2006/relationships/hyperlink" Target="https://www.untitledui.com/react/components/page-headers;%20https://www.untitledui.com/react/components/section-headers" TargetMode="External"/><Relationship Id="rId252" Type="http://schemas.openxmlformats.org/officeDocument/2006/relationships/hyperlink" Target="https://www.untitledui.com/react/components/line-bar-charts" TargetMode="External"/><Relationship Id="rId25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54" Type="http://schemas.openxmlformats.org/officeDocument/2006/relationships/hyperlink" Target="https://www.untitledui.com/react/components/drawers;%20https://www.untitledui.com/react/components/section-footers" TargetMode="External"/><Relationship Id="rId255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56" Type="http://schemas.openxmlformats.org/officeDocument/2006/relationships/hyperlink" Target="https://www.untitledui.com/react/components/tables;%20https://www.untitledui.com/react/components/paginations" TargetMode="External"/><Relationship Id="rId257" Type="http://schemas.openxmlformats.org/officeDocument/2006/relationships/hyperlink" Target="https://www.untitledui.com/react/components/progress-steps;%20https://www.untitledui.com/react/components/progress-indicators" TargetMode="External"/><Relationship Id="rId258" Type="http://schemas.openxmlformats.org/officeDocument/2006/relationships/hyperlink" Target="https://www.untitledui.com/react/components/page-headers;%20https://www.untitledui.com/react/components/section-headers" TargetMode="External"/><Relationship Id="rId259" Type="http://schemas.openxmlformats.org/officeDocument/2006/relationships/hyperlink" Target="https://www.untitledui.com/react/components/tabs" TargetMode="External"/><Relationship Id="rId260" Type="http://schemas.openxmlformats.org/officeDocument/2006/relationships/hyperlink" Target="https://www.untitledui.com/react/components/tables;%20https://www.untitledui.com/react/components/paginations" TargetMode="External"/><Relationship Id="rId26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62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6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64" Type="http://schemas.openxmlformats.org/officeDocument/2006/relationships/hyperlink" Target="https://www.untitledui.com/react/components/tables;%20https://www.untitledui.com/react/components/paginations" TargetMode="External"/><Relationship Id="rId265" Type="http://schemas.openxmlformats.org/officeDocument/2006/relationships/hyperlink" Target="https://www.untitledui.com/react/components/metrics;%20https://www.untitledui.com/react/components/tooltips" TargetMode="External"/><Relationship Id="rId266" Type="http://schemas.openxmlformats.org/officeDocument/2006/relationships/hyperlink" Target="https://www.untitledui.com/react/components/modals;%20https://www.untitledui.com/react/components/buttons" TargetMode="External"/><Relationship Id="rId267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6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6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7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7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7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73" Type="http://schemas.openxmlformats.org/officeDocument/2006/relationships/hyperlink" Target="https://www.untitledui.com/react/components/section-headers;%20https://www.untitledui.com/react/components/content-dividers" TargetMode="External"/><Relationship Id="rId274" Type="http://schemas.openxmlformats.org/officeDocument/2006/relationships/hyperlink" Target="https://www.untitledui.com/react/components/page-headers;%20https://www.untitledui.com/react/components/section-headers" TargetMode="External"/><Relationship Id="rId275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7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77" Type="http://schemas.openxmlformats.org/officeDocument/2006/relationships/hyperlink" Target="https://www.untitledui.com/react/components/tables;%20https://www.untitledui.com/react/components/paginations" TargetMode="External"/><Relationship Id="rId27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79" Type="http://schemas.openxmlformats.org/officeDocument/2006/relationships/hyperlink" Target="https://www.untitledui.com/react/components/tabs" TargetMode="External"/><Relationship Id="rId28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8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82" Type="http://schemas.openxmlformats.org/officeDocument/2006/relationships/hyperlink" Target="https://www.untitledui.com/react/components/tables;%20https://www.untitledui.com/react/components/paginations" TargetMode="External"/><Relationship Id="rId283" Type="http://schemas.openxmlformats.org/officeDocument/2006/relationships/hyperlink" Target="https://www.untitledui.com/react/components/alerts;%20https://www.untitledui.com/react/components/notifications" TargetMode="External"/><Relationship Id="rId284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8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86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87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88" Type="http://schemas.openxmlformats.org/officeDocument/2006/relationships/hyperlink" Target="https://www.untitledui.com/react/components/tables;%20https://www.untitledui.com/react/components/paginations" TargetMode="External"/><Relationship Id="rId28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90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291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9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9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94" Type="http://schemas.openxmlformats.org/officeDocument/2006/relationships/hyperlink" Target="https://www.untitledui.com/react/components/tables;%20https://www.untitledui.com/react/components/paginations" TargetMode="External"/><Relationship Id="rId29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296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29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29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299" Type="http://schemas.openxmlformats.org/officeDocument/2006/relationships/hyperlink" Target="https://www.untitledui.com/react/components/progress-steps;%20https://www.untitledui.com/react/components/progress-indicators" TargetMode="External"/><Relationship Id="rId30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01" Type="http://schemas.openxmlformats.org/officeDocument/2006/relationships/hyperlink" Target="https://www.untitledui.com/react/components/page-headers;%20https://www.untitledui.com/react/components/section-headers" TargetMode="External"/><Relationship Id="rId302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30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04" Type="http://schemas.openxmlformats.org/officeDocument/2006/relationships/hyperlink" Target="https://www.untitledui.com/react/components/drawers;%20https://www.untitledui.com/react/components/section-footers" TargetMode="External"/><Relationship Id="rId305" Type="http://schemas.openxmlformats.org/officeDocument/2006/relationships/hyperlink" Target="https://www.untitledui.com/react/components/alerts;%20https://www.untitledui.com/react/components/notifications" TargetMode="External"/><Relationship Id="rId306" Type="http://schemas.openxmlformats.org/officeDocument/2006/relationships/hyperlink" Target="https://www.untitledui.com/react/components/page-headers;%20https://www.untitledui.com/react/components/section-headers" TargetMode="External"/><Relationship Id="rId307" Type="http://schemas.openxmlformats.org/officeDocument/2006/relationships/hyperlink" Target="https://www.untitledui.com/react/components/tables;%20https://www.untitledui.com/react/components/paginations" TargetMode="External"/><Relationship Id="rId30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09" Type="http://schemas.openxmlformats.org/officeDocument/2006/relationships/hyperlink" Target="https://www.untitledui.com/react/components/tables;%20https://www.untitledui.com/react/components/paginations" TargetMode="External"/><Relationship Id="rId310" Type="http://schemas.openxmlformats.org/officeDocument/2006/relationships/hyperlink" Target="https://www.untitledui.com/react/components/tabs" TargetMode="External"/><Relationship Id="rId31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12" Type="http://schemas.openxmlformats.org/officeDocument/2006/relationships/hyperlink" Target="https://www.untitledui.com/react/components/page-headers;%20https://www.untitledui.com/react/components/section-headers" TargetMode="External"/><Relationship Id="rId31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14" Type="http://schemas.openxmlformats.org/officeDocument/2006/relationships/hyperlink" Target="https://www.untitledui.com/react/components/file-uploaders" TargetMode="External"/><Relationship Id="rId315" Type="http://schemas.openxmlformats.org/officeDocument/2006/relationships/hyperlink" Target="https://www.untitledui.com/react/components/tables;%20https://www.untitledui.com/react/components/paginations" TargetMode="External"/><Relationship Id="rId316" Type="http://schemas.openxmlformats.org/officeDocument/2006/relationships/hyperlink" Target="https://www.untitledui.com/react/components/alerts;%20https://www.untitledui.com/react/components/notifications" TargetMode="External"/><Relationship Id="rId317" Type="http://schemas.openxmlformats.org/officeDocument/2006/relationships/hyperlink" Target="https://www.untitledui.com/react/components/tabs" TargetMode="External"/><Relationship Id="rId31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1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20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2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22" Type="http://schemas.openxmlformats.org/officeDocument/2006/relationships/hyperlink" Target="https://www.untitledui.com/react/components/drawers;%20https://www.untitledui.com/react/components/section-footers" TargetMode="External"/><Relationship Id="rId323" Type="http://schemas.openxmlformats.org/officeDocument/2006/relationships/hyperlink" Target="https://www.untitledui.com/react/components/page-headers;%20https://www.untitledui.com/react/components/section-headers" TargetMode="External"/><Relationship Id="rId324" Type="http://schemas.openxmlformats.org/officeDocument/2006/relationships/hyperlink" Target="https://www.untitledui.com/react/components/tables;%20https://www.untitledui.com/react/components/paginations" TargetMode="External"/><Relationship Id="rId325" Type="http://schemas.openxmlformats.org/officeDocument/2006/relationships/hyperlink" Target="https://www.untitledui.com/react/components/metrics;%20https://www.untitledui.com/react/components/tooltips" TargetMode="External"/><Relationship Id="rId326" Type="http://schemas.openxmlformats.org/officeDocument/2006/relationships/hyperlink" Target="https://www.untitledui.com/react/components/modals;%20https://www.untitledui.com/react/components/buttons" TargetMode="External"/><Relationship Id="rId32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28" Type="http://schemas.openxmlformats.org/officeDocument/2006/relationships/hyperlink" Target="https://www.untitledui.com/react/components/tables;%20https://www.untitledui.com/react/components/paginations" TargetMode="External"/><Relationship Id="rId329" Type="http://schemas.openxmlformats.org/officeDocument/2006/relationships/hyperlink" Target="https://www.untitledui.com/react/components/messaging;%20https://www.untitledui.com/react/components/drawers" TargetMode="External"/><Relationship Id="rId330" Type="http://schemas.openxmlformats.org/officeDocument/2006/relationships/hyperlink" Target="https://www.untitledui.com/react/components/tabs" TargetMode="External"/><Relationship Id="rId331" Type="http://schemas.openxmlformats.org/officeDocument/2006/relationships/hyperlink" Target="https://www.untitledui.com/react/components/tables;%20https://www.untitledui.com/react/components/paginations" TargetMode="External"/><Relationship Id="rId332" Type="http://schemas.openxmlformats.org/officeDocument/2006/relationships/hyperlink" Target="https://www.untitledui.com/react/components/metrics;%20https://www.untitledui.com/react/components/tooltips" TargetMode="External"/><Relationship Id="rId333" Type="http://schemas.openxmlformats.org/officeDocument/2006/relationships/hyperlink" Target="https://www.untitledui.com/react/components/page-headers;%20https://www.untitledui.com/react/components/section-headers" TargetMode="External"/><Relationship Id="rId334" Type="http://schemas.openxmlformats.org/officeDocument/2006/relationships/hyperlink" Target="https://www.untitledui.com/react/components/progress-steps;%20https://www.untitledui.com/react/components/progress-indicators" TargetMode="External"/><Relationship Id="rId335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36" Type="http://schemas.openxmlformats.org/officeDocument/2006/relationships/hyperlink" Target="https://www.untitledui.com/react/components/drawers;%20https://www.untitledui.com/react/components/section-footers" TargetMode="External"/><Relationship Id="rId337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38" Type="http://schemas.openxmlformats.org/officeDocument/2006/relationships/hyperlink" Target="https://www.untitledui.com/react/components/file-uploaders" TargetMode="External"/><Relationship Id="rId339" Type="http://schemas.openxmlformats.org/officeDocument/2006/relationships/hyperlink" Target="https://www.untitledui.com/react/components/tables;%20https://www.untitledui.com/react/components/paginations" TargetMode="External"/><Relationship Id="rId340" Type="http://schemas.openxmlformats.org/officeDocument/2006/relationships/hyperlink" Target="https://www.untitledui.com/react/components/modals;%20https://www.untitledui.com/react/components/buttons" TargetMode="External"/><Relationship Id="rId341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42" Type="http://schemas.openxmlformats.org/officeDocument/2006/relationships/hyperlink" Target="https://www.untitledui.com/react/components/tables;%20https://www.untitledui.com/react/components/paginations" TargetMode="External"/><Relationship Id="rId343" Type="http://schemas.openxmlformats.org/officeDocument/2006/relationships/hyperlink" Target="https://www.untitledui.com/react/components/tables;%20https://www.untitledui.com/react/components/paginations" TargetMode="External"/><Relationship Id="rId344" Type="http://schemas.openxmlformats.org/officeDocument/2006/relationships/hyperlink" Target="https://www.untitledui.com/react/components/tables;%20https://www.untitledui.com/react/components/paginations" TargetMode="External"/><Relationship Id="rId345" Type="http://schemas.openxmlformats.org/officeDocument/2006/relationships/hyperlink" Target="https://www.untitledui.com/react/components/tables;%20https://www.untitledui.com/react/components/paginations" TargetMode="External"/><Relationship Id="rId346" Type="http://schemas.openxmlformats.org/officeDocument/2006/relationships/hyperlink" Target="https://www.untitledui.com/react/components/metrics;%20https://www.untitledui.com/react/components/tooltips" TargetMode="External"/><Relationship Id="rId34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48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49" Type="http://schemas.openxmlformats.org/officeDocument/2006/relationships/hyperlink" Target="https://www.untitledui.com/react/components/tables;%20https://www.untitledui.com/react/components/paginations" TargetMode="External"/><Relationship Id="rId350" Type="http://schemas.openxmlformats.org/officeDocument/2006/relationships/hyperlink" Target="https://www.untitledui.com/react/components/calendars;%20https://www.untitledui.com/react/components/activity-feeds" TargetMode="External"/><Relationship Id="rId351" Type="http://schemas.openxmlformats.org/officeDocument/2006/relationships/hyperlink" Target="https://www.untitledui.com/react/components/modals;%20https://www.untitledui.com/react/components/buttons" TargetMode="External"/><Relationship Id="rId352" Type="http://schemas.openxmlformats.org/officeDocument/2006/relationships/hyperlink" Target="https://www.untitledui.com/react/components/tabs" TargetMode="External"/><Relationship Id="rId353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54" Type="http://schemas.openxmlformats.org/officeDocument/2006/relationships/hyperlink" Target="https://www.untitledui.com/react/components/modals;%20https://www.untitledui.com/react/components/buttons" TargetMode="External"/><Relationship Id="rId355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56" Type="http://schemas.openxmlformats.org/officeDocument/2006/relationships/hyperlink" Target="https://www.untitledui.com/react/components/tabs" TargetMode="External"/><Relationship Id="rId35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5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5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60" Type="http://schemas.openxmlformats.org/officeDocument/2006/relationships/hyperlink" Target="https://www.untitledui.com/react/components/tabs" TargetMode="External"/><Relationship Id="rId36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62" Type="http://schemas.openxmlformats.org/officeDocument/2006/relationships/hyperlink" Target="https://www.untitledui.com/react/components/activity-feeds;%20https://www.untitledui.com/react/components/dropdowns" TargetMode="External"/><Relationship Id="rId36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64" Type="http://schemas.openxmlformats.org/officeDocument/2006/relationships/hyperlink" Target="https://www.untitledui.com/react/components/tables;%20https://www.untitledui.com/react/components/paginations" TargetMode="External"/><Relationship Id="rId365" Type="http://schemas.openxmlformats.org/officeDocument/2006/relationships/hyperlink" Target="https://www.untitledui.com/react/components/modals;%20https://www.untitledui.com/react/components/buttons" TargetMode="External"/><Relationship Id="rId366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367" Type="http://schemas.openxmlformats.org/officeDocument/2006/relationships/hyperlink" Target="https://www.untitledui.com/react/components/activity-feeds;%20https://www.untitledui.com/react/components/dropdowns" TargetMode="External"/><Relationship Id="rId36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6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71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73" Type="http://schemas.openxmlformats.org/officeDocument/2006/relationships/hyperlink" Target="https://www.untitledui.com/react/components/tables;%20https://www.untitledui.com/react/components/paginations" TargetMode="External"/><Relationship Id="rId374" Type="http://schemas.openxmlformats.org/officeDocument/2006/relationships/hyperlink" Target="https://www.untitledui.com/react/components/avatars;%20https://www.untitledui.com/react/components/badges;%20https://www.untitledui.com/react/components/dropdowns" TargetMode="External"/><Relationship Id="rId375" Type="http://schemas.openxmlformats.org/officeDocument/2006/relationships/hyperlink" Target="https://www.untitledui.com/react/components/tabs" TargetMode="External"/><Relationship Id="rId376" Type="http://schemas.openxmlformats.org/officeDocument/2006/relationships/hyperlink" Target="https://www.untitledui.com/react/components/metrics;%20https://www.untitledui.com/react/components/tooltips" TargetMode="External"/><Relationship Id="rId37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78" Type="http://schemas.openxmlformats.org/officeDocument/2006/relationships/hyperlink" Target="https://www.untitledui.com/react/components/tables;%20https://www.untitledui.com/react/components/paginations" TargetMode="External"/><Relationship Id="rId379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80" Type="http://schemas.openxmlformats.org/officeDocument/2006/relationships/hyperlink" Target="https://www.untitledui.com/react/components/file-uploaders" TargetMode="External"/><Relationship Id="rId381" Type="http://schemas.openxmlformats.org/officeDocument/2006/relationships/hyperlink" Target="https://www.untitledui.com/react/components/toggles;%20https://www.untitledui.com/react/components/inputs" TargetMode="External"/><Relationship Id="rId382" Type="http://schemas.openxmlformats.org/officeDocument/2006/relationships/hyperlink" Target="https://www.untitledui.com/react/components/modals;%20https://www.untitledui.com/react/components/buttons" TargetMode="External"/><Relationship Id="rId383" Type="http://schemas.openxmlformats.org/officeDocument/2006/relationships/hyperlink" Target="https://www.untitledui.com/react/components/avatars;%20https://www.untitledui.com/react/components/badges;%20https://www.untitledui.com/react/components/dropdowns" TargetMode="External"/><Relationship Id="rId384" Type="http://schemas.openxmlformats.org/officeDocument/2006/relationships/hyperlink" Target="https://www.untitledui.com/react/components/modals;%20https://www.untitledui.com/react/components/buttons" TargetMode="External"/><Relationship Id="rId385" Type="http://schemas.openxmlformats.org/officeDocument/2006/relationships/hyperlink" Target="https://www.untitledui.com/react/components/tables;%20https://www.untitledui.com/react/components/paginations" TargetMode="External"/><Relationship Id="rId386" Type="http://schemas.openxmlformats.org/officeDocument/2006/relationships/hyperlink" Target="https://www.untitledui.com/react/components/activity-feeds;%20https://www.untitledui.com/react/components/dropdowns" TargetMode="External"/><Relationship Id="rId387" Type="http://schemas.openxmlformats.org/officeDocument/2006/relationships/hyperlink" Target="https://www.untitledui.com/react/components/sidebar-navigations" TargetMode="External"/><Relationship Id="rId388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89" Type="http://schemas.openxmlformats.org/officeDocument/2006/relationships/hyperlink" Target="https://www.untitledui.com/react/components/toggles;%20https://www.untitledui.com/react/components/inputs" TargetMode="External"/><Relationship Id="rId39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91" Type="http://schemas.openxmlformats.org/officeDocument/2006/relationships/hyperlink" Target="https://www.untitledui.com/react/components/toggles;%20https://www.untitledui.com/react/components/inputs" TargetMode="External"/><Relationship Id="rId392" Type="http://schemas.openxmlformats.org/officeDocument/2006/relationships/hyperlink" Target="https://www.untitledui.com/react/components/tables;%20https://www.untitledui.com/react/components/paginations" TargetMode="External"/><Relationship Id="rId39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394" Type="http://schemas.openxmlformats.org/officeDocument/2006/relationships/hyperlink" Target="https://www.untitledui.com/react/components/toggles;%20https://www.untitledui.com/react/components/inputs" TargetMode="External"/><Relationship Id="rId39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9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97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398" Type="http://schemas.openxmlformats.org/officeDocument/2006/relationships/hyperlink" Target="https://www.untitledui.com/react/components/alerts;%20https://www.untitledui.com/react/components/notifications" TargetMode="External"/><Relationship Id="rId399" Type="http://schemas.openxmlformats.org/officeDocument/2006/relationships/hyperlink" Target="https://www.untitledui.com/react/components/modals;%20https://www.untitledui.com/react/components/buttons" TargetMode="External"/><Relationship Id="rId400" Type="http://schemas.openxmlformats.org/officeDocument/2006/relationships/hyperlink" Target="https://www.untitledui.com/react/components/modals;%20https://www.untitledui.com/react/components/buttons" TargetMode="External"/><Relationship Id="rId40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02" Type="http://schemas.openxmlformats.org/officeDocument/2006/relationships/hyperlink" Target="https://www.untitledui.com/react/components/toggles;%20https://www.untitledui.com/react/components/inputs" TargetMode="External"/><Relationship Id="rId403" Type="http://schemas.openxmlformats.org/officeDocument/2006/relationships/hyperlink" Target="https://www.untitledui.com/react/components/alerts;%20https://www.untitledui.com/react/components/notifications" TargetMode="External"/><Relationship Id="rId404" Type="http://schemas.openxmlformats.org/officeDocument/2006/relationships/hyperlink" Target="https://www.untitledui.com/react/components/page-headers;%20https://www.untitledui.com/react/components/section-headers" TargetMode="External"/><Relationship Id="rId405" Type="http://schemas.openxmlformats.org/officeDocument/2006/relationships/hyperlink" Target="https://www.untitledui.com/react/components/modals;%20https://www.untitledui.com/react/components/buttons" TargetMode="External"/><Relationship Id="rId406" Type="http://schemas.openxmlformats.org/officeDocument/2006/relationships/hyperlink" Target="https://www.untitledui.com/react/components/page-headers;%20https://www.untitledui.com/react/components/section-headers" TargetMode="External"/><Relationship Id="rId407" Type="http://schemas.openxmlformats.org/officeDocument/2006/relationships/hyperlink" Target="https://www.untitledui.com/react/components/metrics;%20https://www.untitledui.com/react/components/tooltips" TargetMode="External"/><Relationship Id="rId408" Type="http://schemas.openxmlformats.org/officeDocument/2006/relationships/hyperlink" Target="https://www.untitledui.com/react/components/tables;%20https://www.untitledui.com/react/components/paginations" TargetMode="External"/><Relationship Id="rId409" Type="http://schemas.openxmlformats.org/officeDocument/2006/relationships/hyperlink" Target="https://www.untitledui.com/react/components/metrics;%20https://www.untitledui.com/react/components/tooltips" TargetMode="External"/><Relationship Id="rId410" Type="http://schemas.openxmlformats.org/officeDocument/2006/relationships/hyperlink" Target="https://www.untitledui.com/react/components/tables;%20https://www.untitledui.com/react/components/radio-groups;%20https://www.untitledui.com/react/components/buttons" TargetMode="External"/><Relationship Id="rId411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12" Type="http://schemas.openxmlformats.org/officeDocument/2006/relationships/hyperlink" Target="https://www.untitledui.com/react/components/modals;%20https://www.untitledui.com/react/components/buttons" TargetMode="External"/><Relationship Id="rId413" Type="http://schemas.openxmlformats.org/officeDocument/2006/relationships/hyperlink" Target="https://www.untitledui.com/react/components/tables;%20https://www.untitledui.com/react/components/paginations" TargetMode="External"/><Relationship Id="rId414" Type="http://schemas.openxmlformats.org/officeDocument/2006/relationships/hyperlink" Target="https://www.untitledui.com/react/components/section-headers;%20https://www.untitledui.com/react/components/content-dividers" TargetMode="External"/><Relationship Id="rId415" Type="http://schemas.openxmlformats.org/officeDocument/2006/relationships/hyperlink" Target="https://www.untitledui.com/react/components/sidebar-navigations" TargetMode="External"/><Relationship Id="rId416" Type="http://schemas.openxmlformats.org/officeDocument/2006/relationships/hyperlink" Target="https://www.untitledui.com/react/components/metrics;%20https://www.untitledui.com/react/components/tooltips" TargetMode="External"/><Relationship Id="rId417" Type="http://schemas.openxmlformats.org/officeDocument/2006/relationships/hyperlink" Target="https://www.untitledui.com/react/components/tables;%20https://www.untitledui.com/react/components/paginations" TargetMode="External"/><Relationship Id="rId418" Type="http://schemas.openxmlformats.org/officeDocument/2006/relationships/hyperlink" Target="https://www.untitledui.com/react/components/activity-feeds;%20https://www.untitledui.com/react/components/dropdowns" TargetMode="External"/><Relationship Id="rId419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20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421" Type="http://schemas.openxmlformats.org/officeDocument/2006/relationships/hyperlink" Target="https://www.untitledui.com/react/components/tables;%20https://www.untitledui.com/react/components/paginations" TargetMode="External"/><Relationship Id="rId422" Type="http://schemas.openxmlformats.org/officeDocument/2006/relationships/hyperlink" Target="https://www.untitledui.com/react/components/modals;%20https://www.untitledui.com/react/components/buttons" TargetMode="External"/><Relationship Id="rId423" Type="http://schemas.openxmlformats.org/officeDocument/2006/relationships/hyperlink" Target="https://www.untitledui.com/react/components/alerts;%20https://www.untitledui.com/react/components/notifications" TargetMode="External"/><Relationship Id="rId424" Type="http://schemas.openxmlformats.org/officeDocument/2006/relationships/hyperlink" Target="https://www.untitledui.com/react/components/filter-bars;%20https://www.untitledui.com/react/components/drawers;%20https://www.untitledui.com/react/components/date-pickers" TargetMode="External"/><Relationship Id="rId425" Type="http://schemas.openxmlformats.org/officeDocument/2006/relationships/hyperlink" Target="https://www.untitledui.com/react/components/tables;%20https://www.untitledui.com/react/components/paginations" TargetMode="External"/><Relationship Id="rId426" Type="http://schemas.openxmlformats.org/officeDocument/2006/relationships/hyperlink" Target="https://www.untitledui.com/react/components/tables;%20https://www.untitledui.com/react/components/paginations" TargetMode="External"/><Relationship Id="rId427" Type="http://schemas.openxmlformats.org/officeDocument/2006/relationships/hyperlink" Target="https://www.untitledui.com/react/components/modals;%20https://www.untitledui.com/react/components/buttons" TargetMode="External"/><Relationship Id="rId428" Type="http://schemas.openxmlformats.org/officeDocument/2006/relationships/hyperlink" Target="https://www.untitledui.com/react/components/activity-feeds;%20https://www.untitledui.com/react/components/dropdowns" TargetMode="External"/><Relationship Id="rId429" Type="http://schemas.openxmlformats.org/officeDocument/2006/relationships/hyperlink" Target="https://www.untitledui.com/react/components/metrics;%20https://www.untitledui.com/react/components/tooltips" TargetMode="External"/><Relationship Id="rId430" Type="http://schemas.openxmlformats.org/officeDocument/2006/relationships/hyperlink" Target="https://www.untitledui.com/react/components/modals;%20https://www.untitledui.com/react/components/buttons" TargetMode="External"/><Relationship Id="rId431" Type="http://schemas.openxmlformats.org/officeDocument/2006/relationships/hyperlink" Target="https://www.untitledui.com/react/components/tables;%20https://www.untitledui.com/react/components/paginations" TargetMode="External"/><Relationship Id="rId432" Type="http://schemas.openxmlformats.org/officeDocument/2006/relationships/hyperlink" Target="https://www.untitledui.com/react/components/activity-feeds;%20https://www.untitledui.com/react/components/dropdowns" TargetMode="External"/><Relationship Id="rId433" Type="http://schemas.openxmlformats.org/officeDocument/2006/relationships/hyperlink" Target="https://www.untitledui.com/react/components/metrics;%20https://www.untitledui.com/react/components/tooltips" TargetMode="External"/><Relationship Id="rId434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35" Type="http://schemas.openxmlformats.org/officeDocument/2006/relationships/hyperlink" Target="https://www.untitledui.com/react/components/tables;%20https://www.untitledui.com/react/components/paginations" TargetMode="External"/><Relationship Id="rId436" Type="http://schemas.openxmlformats.org/officeDocument/2006/relationships/hyperlink" Target="https://www.untitledui.com/react/components/modals;%20https://www.untitledui.com/react/components/buttons" TargetMode="External"/><Relationship Id="rId437" Type="http://schemas.openxmlformats.org/officeDocument/2006/relationships/hyperlink" Target="https://www.untitledui.com/react/components/metrics;%20https://www.untitledui.com/react/components/tooltips" TargetMode="External"/><Relationship Id="rId438" Type="http://schemas.openxmlformats.org/officeDocument/2006/relationships/hyperlink" Target="https://www.untitledui.com/react/components/tables;%20https://www.untitledui.com/react/components/paginations" TargetMode="External"/><Relationship Id="rId439" Type="http://schemas.openxmlformats.org/officeDocument/2006/relationships/hyperlink" Target="https://www.untitledui.com/react/components/modals;%20https://www.untitledui.com/react/components/buttons" TargetMode="External"/><Relationship Id="rId440" Type="http://schemas.openxmlformats.org/officeDocument/2006/relationships/hyperlink" Target="https://www.untitledui.com/react/components/activity-feeds;%20https://www.untitledui.com/react/components/dropdowns" TargetMode="External"/><Relationship Id="rId441" Type="http://schemas.openxmlformats.org/officeDocument/2006/relationships/hyperlink" Target="https://www.untitledui.com/react/components/metrics;%20https://www.untitledui.com/react/components/tooltips" TargetMode="External"/><Relationship Id="rId44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43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44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45" Type="http://schemas.openxmlformats.org/officeDocument/2006/relationships/hyperlink" Target="https://www.untitledui.com/react/components/tables;%20https://www.untitledui.com/react/components/paginations" TargetMode="External"/><Relationship Id="rId446" Type="http://schemas.openxmlformats.org/officeDocument/2006/relationships/hyperlink" Target="https://www.untitledui.com/react/components/sidebar-navigations" TargetMode="External"/><Relationship Id="rId447" Type="http://schemas.openxmlformats.org/officeDocument/2006/relationships/hyperlink" Target="https://www.untitledui.com/react/components/page-headers;%20https://www.untitledui.com/react/components/section-headers" TargetMode="External"/><Relationship Id="rId448" Type="http://schemas.openxmlformats.org/officeDocument/2006/relationships/hyperlink" Target="https://www.untitledui.com/react/components/section-headers;%20https://www.untitledui.com/react/components/content-dividers" TargetMode="External"/><Relationship Id="rId449" Type="http://schemas.openxmlformats.org/officeDocument/2006/relationships/hyperlink" Target="https://www.untitledui.com/react/components/section-headers;%20https://www.untitledui.com/react/components/content-dividers" TargetMode="External"/><Relationship Id="rId450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451" Type="http://schemas.openxmlformats.org/officeDocument/2006/relationships/hyperlink" Target="https://www.untitledui.com/react/components/section-headers;%20https://www.untitledui.com/react/components/content-dividers" TargetMode="External"/><Relationship Id="rId452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5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54" Type="http://schemas.openxmlformats.org/officeDocument/2006/relationships/hyperlink" Target="https://www.untitledui.com/react/components/section-headers;%20https://www.untitledui.com/react/components/content-dividers" TargetMode="External"/><Relationship Id="rId455" Type="http://schemas.openxmlformats.org/officeDocument/2006/relationships/hyperlink" Target="https://www.untitledui.com/react/components/tables;%20https://www.untitledui.com/react/components/radio-groups;%20https://www.untitledui.com/react/components/buttons" TargetMode="External"/><Relationship Id="rId456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57" Type="http://schemas.openxmlformats.org/officeDocument/2006/relationships/hyperlink" Target="https://www.untitledui.com/react/components/section-headers;%20https://www.untitledui.com/react/components/content-dividers" TargetMode="External"/><Relationship Id="rId45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59" Type="http://schemas.openxmlformats.org/officeDocument/2006/relationships/hyperlink" Target="https://www.untitledui.com/react/components/page-headers;%20https://www.untitledui.com/react/components/section-headers" TargetMode="External"/><Relationship Id="rId46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61" Type="http://schemas.openxmlformats.org/officeDocument/2006/relationships/hyperlink" Target="https://www.untitledui.com/react/components/alerts;%20https://www.untitledui.com/react/components/notifications" TargetMode="External"/><Relationship Id="rId462" Type="http://schemas.openxmlformats.org/officeDocument/2006/relationships/hyperlink" Target="https://www.untitledui.com/react/components/section-headers;%20https://www.untitledui.com/react/components/content-dividers" TargetMode="External"/><Relationship Id="rId463" Type="http://schemas.openxmlformats.org/officeDocument/2006/relationships/hyperlink" Target="https://www.untitledui.com/react/components/page-headers;%20https://www.untitledui.com/react/components/section-headers" TargetMode="External"/><Relationship Id="rId464" Type="http://schemas.openxmlformats.org/officeDocument/2006/relationships/hyperlink" Target="https://www.untitledui.com/react/components/progress-steps;%20https://www.untitledui.com/react/components/progress-indicators" TargetMode="External"/><Relationship Id="rId46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66" Type="http://schemas.openxmlformats.org/officeDocument/2006/relationships/hyperlink" Target="https://www.untitledui.com/react/components/page-headers;%20https://www.untitledui.com/react/components/section-headers" TargetMode="External"/><Relationship Id="rId467" Type="http://schemas.openxmlformats.org/officeDocument/2006/relationships/hyperlink" Target="https://www.untitledui.com/react/components/section-headers;%20https://www.untitledui.com/react/components/content-dividers" TargetMode="External"/><Relationship Id="rId468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69" Type="http://schemas.openxmlformats.org/officeDocument/2006/relationships/hyperlink" Target="https://www.untitledui.com/react/components/alerts;%20https://www.untitledui.com/react/components/notifications" TargetMode="External"/><Relationship Id="rId470" Type="http://schemas.openxmlformats.org/officeDocument/2006/relationships/hyperlink" Target="https://www.untitledui.com/react/components/progress-steps;%20https://www.untitledui.com/react/components/progress-indicators" TargetMode="External"/><Relationship Id="rId471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472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73" Type="http://schemas.openxmlformats.org/officeDocument/2006/relationships/hyperlink" Target="https://www.untitledui.com/react/components/sidebar-navigations" TargetMode="External"/><Relationship Id="rId474" Type="http://schemas.openxmlformats.org/officeDocument/2006/relationships/hyperlink" Target="https://www.untitledui.com/react/components/page-headers;%20https://www.untitledui.com/react/components/section-headers" TargetMode="External"/><Relationship Id="rId475" Type="http://schemas.openxmlformats.org/officeDocument/2006/relationships/hyperlink" Target="https://www.untitledui.com/react/components/tables;%20https://www.untitledui.com/react/components/paginations" TargetMode="External"/><Relationship Id="rId476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77" Type="http://schemas.openxmlformats.org/officeDocument/2006/relationships/hyperlink" Target="https://www.untitledui.com/react/components/page-headers;%20https://www.untitledui.com/react/components/section-headers" TargetMode="External"/><Relationship Id="rId478" Type="http://schemas.openxmlformats.org/officeDocument/2006/relationships/hyperlink" Target="https://www.untitledui.com/react/components/section-headers;%20https://www.untitledui.com/react/components/select;%20https://www.untitledui.com/react/components/tooltips" TargetMode="External"/><Relationship Id="rId479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80" Type="http://schemas.openxmlformats.org/officeDocument/2006/relationships/hyperlink" Target="https://www.untitledui.com/react/components/inputs;%20https://www.untitledui.com/react/components/select;%20https://www.untitledui.com/react/components/textarea;%20https://www.untitledui.com/react/components/buttons" TargetMode="External"/><Relationship Id="rId481" Type="http://schemas.openxmlformats.org/officeDocument/2006/relationships/hyperlink" Target="https://www.untitledui.com/react/components/section-headers;%20https://www.untitledui.com/react/components/content-dividers" TargetMode="External"/><Relationship Id="rId482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83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84" Type="http://schemas.openxmlformats.org/officeDocument/2006/relationships/hyperlink" Target="https://www.untitledui.com/react/components/empty-states;%20https://www.untitledui.com/react/components/loading-indicators;%20https://www.untitledui.com/react/components/alerts" TargetMode="External"/><Relationship Id="rId485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86" Type="http://schemas.openxmlformats.org/officeDocument/2006/relationships/hyperlink" Target="https://www.untitledui.com/react/components/section-headers;%20https://www.untitledui.com/react/components/badges;%20https://www.untitledui.com/react/components/buttons" TargetMode="External"/><Relationship Id="rId487" Type="http://schemas.openxmlformats.org/officeDocument/2006/relationships/hyperlink" Target="https://www.untitledui.com/react/components/tabs" TargetMode="External"/><Relationship Id="rId488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showGridLines="0" tabSelected="1" workbookViewId="0">
      <pane ySplit="8" topLeftCell="A9" activePane="bottomLeft" state="frozen"/>
      <selection pane="bottomLeft"/>
    </sheetView>
  </sheetViews>
  <sheetFormatPr defaultRowHeight="15"/>
  <cols>
    <col min="1" max="1" width="42.7109375" customWidth="1"/>
    <col min="2" max="3" width="20.7109375" customWidth="1"/>
    <col min="4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2"/>
      <c r="C4" s="2"/>
      <c r="D4" s="2"/>
      <c r="E4" s="2"/>
      <c r="F4" s="2"/>
    </row>
    <row r="6" spans="1:6">
      <c r="A6" s="2" t="s">
        <v>2</v>
      </c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9" spans="1:6">
      <c r="A9" s="3" t="s">
        <v>3</v>
      </c>
      <c r="B9" s="3" t="s">
        <v>4</v>
      </c>
      <c r="C9" s="3" t="s">
        <v>5</v>
      </c>
    </row>
    <row r="10" spans="1:6">
      <c r="A10" s="4" t="s">
        <v>6</v>
      </c>
      <c r="B10" s="5">
        <f>COUNTIF(Components!E2:E493,"Implemented; partial verification")</f>
        <v>480</v>
      </c>
      <c r="C10" s="5">
        <f>COUNTIF(Components!F2:F493,"Implemented; partial verification")</f>
        <v>480</v>
      </c>
    </row>
    <row r="11" spans="1:6">
      <c r="A11" s="4" t="s">
        <v>7</v>
      </c>
      <c r="B11" s="5">
        <f>COUNTIF(Components!E2:E493,"In progress (concurrent redesign)")</f>
        <v>0</v>
      </c>
      <c r="C11" s="5">
        <f>COUNTIF(Components!F2:F493,"In progress (concurrent redesign)")</f>
        <v>0</v>
      </c>
    </row>
    <row r="12" spans="1:6">
      <c r="A12" s="4" t="s">
        <v>8</v>
      </c>
      <c r="B12" s="5">
        <f>COUNTIF(Components!E2:E493,"In progress")</f>
        <v>7</v>
      </c>
      <c r="C12" s="5">
        <f>COUNTIF(Components!F2:F493,"In progress")</f>
        <v>7</v>
      </c>
    </row>
    <row r="13" spans="1:6">
      <c r="A13" s="4" t="s">
        <v>9</v>
      </c>
      <c r="B13" s="5">
        <f>COUNTIF(Components!E2:E493,"Not started")</f>
        <v>5</v>
      </c>
      <c r="C13" s="5">
        <f>COUNTIF(Components!F2:F493,"Not started")</f>
        <v>5</v>
      </c>
    </row>
    <row r="14" spans="1:6">
      <c r="A14" s="4" t="s">
        <v>10</v>
      </c>
      <c r="B14" s="5">
        <f>COUNTIF(Components!E2:E493,"Passed")</f>
        <v>0</v>
      </c>
      <c r="C14" s="5">
        <f>COUNTIF(Components!F2:F493,"Passed")</f>
        <v>0</v>
      </c>
    </row>
    <row r="15" spans="1:6">
      <c r="A15" s="4" t="s">
        <v>11</v>
      </c>
      <c r="B15" s="5">
        <f>COUNTIFS(Components!E2:E493,"Passed",Components!F2:F493,"Passed")</f>
        <v>0</v>
      </c>
    </row>
    <row r="16" spans="1:6">
      <c r="A16" s="4" t="s">
        <v>12</v>
      </c>
      <c r="B16" s="5">
        <f>COUNTA(Components!A2:A493)</f>
        <v>492</v>
      </c>
    </row>
    <row r="17" spans="1:6">
      <c r="A17" s="4" t="s">
        <v>13</v>
      </c>
      <c r="B17" s="5">
        <f>COUNTA(Routes!A2:A99)</f>
        <v>98</v>
      </c>
    </row>
    <row r="20" spans="1:6">
      <c r="A20" s="2" t="s">
        <v>14</v>
      </c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4" spans="1:6">
      <c r="A24" s="6" t="s">
        <v>15</v>
      </c>
    </row>
    <row r="25" spans="1:6">
      <c r="A25" s="6" t="s">
        <v>16</v>
      </c>
    </row>
  </sheetData>
  <mergeCells count="4">
    <mergeCell ref="A1:F2"/>
    <mergeCell ref="A4:F4"/>
    <mergeCell ref="A6:F7"/>
    <mergeCell ref="A20:F22"/>
  </mergeCells>
  <hyperlinks>
    <hyperlink ref="A24" location="'Components'!A1" display="Open all components"/>
    <hyperlink ref="A25" location="'Work touched'!A1" display="Open work touched so fa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93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style="4" customWidth="1"/>
    <col min="2" max="2" width="29.7109375" style="4" customWidth="1"/>
    <col min="3" max="3" width="42.7109375" style="4" customWidth="1"/>
    <col min="4" max="4" width="10.7109375" style="4" customWidth="1"/>
    <col min="5" max="6" width="29.7109375" style="4" customWidth="1"/>
    <col min="7" max="10" width="65.7109375" style="4" customWidth="1"/>
    <col min="11" max="12" width="60.7109375" style="4" customWidth="1"/>
  </cols>
  <sheetData>
    <row r="1" spans="1:12" ht="32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 ht="72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6" t="s">
        <v>39</v>
      </c>
    </row>
    <row r="3" spans="1:12" ht="72" customHeight="1">
      <c r="A3" s="4" t="s">
        <v>40</v>
      </c>
      <c r="B3" s="4" t="s">
        <v>30</v>
      </c>
      <c r="C3" s="4" t="s">
        <v>41</v>
      </c>
      <c r="D3" s="4" t="s">
        <v>42</v>
      </c>
      <c r="E3" s="4" t="s">
        <v>33</v>
      </c>
      <c r="F3" s="4" t="s">
        <v>33</v>
      </c>
      <c r="G3" s="4" t="s">
        <v>43</v>
      </c>
      <c r="H3" s="4" t="s">
        <v>43</v>
      </c>
      <c r="I3" s="4" t="s">
        <v>44</v>
      </c>
      <c r="J3" s="4" t="s">
        <v>45</v>
      </c>
      <c r="K3" s="4" t="s">
        <v>46</v>
      </c>
      <c r="L3" s="6" t="s">
        <v>47</v>
      </c>
    </row>
    <row r="4" spans="1:12" ht="72" customHeight="1">
      <c r="A4" s="4" t="s">
        <v>48</v>
      </c>
      <c r="B4" s="4" t="s">
        <v>30</v>
      </c>
      <c r="C4" s="4" t="s">
        <v>49</v>
      </c>
      <c r="D4" s="4" t="s">
        <v>42</v>
      </c>
      <c r="E4" s="4" t="s">
        <v>33</v>
      </c>
      <c r="F4" s="4" t="s">
        <v>33</v>
      </c>
      <c r="G4" s="4" t="s">
        <v>43</v>
      </c>
      <c r="H4" s="4" t="s">
        <v>43</v>
      </c>
      <c r="I4" s="4" t="s">
        <v>44</v>
      </c>
      <c r="J4" s="4" t="s">
        <v>50</v>
      </c>
      <c r="K4" s="4" t="s">
        <v>51</v>
      </c>
      <c r="L4" s="6" t="s">
        <v>52</v>
      </c>
    </row>
    <row r="5" spans="1:12" ht="72" customHeight="1">
      <c r="A5" s="4" t="s">
        <v>53</v>
      </c>
      <c r="B5" s="4" t="s">
        <v>30</v>
      </c>
      <c r="C5" s="4" t="s">
        <v>54</v>
      </c>
      <c r="D5" s="4" t="s">
        <v>42</v>
      </c>
      <c r="E5" s="4" t="s">
        <v>8</v>
      </c>
      <c r="F5" s="4" t="s">
        <v>8</v>
      </c>
      <c r="G5" s="4" t="s">
        <v>55</v>
      </c>
      <c r="H5" s="4" t="s">
        <v>55</v>
      </c>
      <c r="I5" s="4" t="s">
        <v>56</v>
      </c>
      <c r="J5" s="4" t="s">
        <v>57</v>
      </c>
      <c r="K5" s="4" t="s">
        <v>58</v>
      </c>
      <c r="L5" s="6" t="s">
        <v>39</v>
      </c>
    </row>
    <row r="6" spans="1:12" ht="72" customHeight="1">
      <c r="A6" s="4" t="s">
        <v>59</v>
      </c>
      <c r="B6" s="4" t="s">
        <v>30</v>
      </c>
      <c r="C6" s="4" t="s">
        <v>60</v>
      </c>
      <c r="D6" s="4" t="s">
        <v>32</v>
      </c>
      <c r="E6" s="4" t="s">
        <v>33</v>
      </c>
      <c r="F6" s="4" t="s">
        <v>33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6" t="s">
        <v>66</v>
      </c>
    </row>
    <row r="7" spans="1:12" ht="72" customHeight="1">
      <c r="A7" s="4" t="s">
        <v>67</v>
      </c>
      <c r="B7" s="4" t="s">
        <v>30</v>
      </c>
      <c r="C7" s="4" t="s">
        <v>68</v>
      </c>
      <c r="D7" s="4" t="s">
        <v>32</v>
      </c>
      <c r="E7" s="4" t="s">
        <v>33</v>
      </c>
      <c r="F7" s="4" t="s">
        <v>33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73</v>
      </c>
      <c r="L7" s="6" t="s">
        <v>47</v>
      </c>
    </row>
    <row r="8" spans="1:12" ht="72" customHeight="1">
      <c r="A8" s="4" t="s">
        <v>74</v>
      </c>
      <c r="B8" s="4" t="s">
        <v>30</v>
      </c>
      <c r="C8" s="4" t="s">
        <v>75</v>
      </c>
      <c r="D8" s="4" t="s">
        <v>42</v>
      </c>
      <c r="E8" s="4" t="s">
        <v>33</v>
      </c>
      <c r="F8" s="4" t="s">
        <v>33</v>
      </c>
      <c r="G8" s="4" t="s">
        <v>76</v>
      </c>
      <c r="H8" s="4" t="s">
        <v>77</v>
      </c>
      <c r="I8" s="4" t="s">
        <v>78</v>
      </c>
      <c r="J8" s="4" t="s">
        <v>79</v>
      </c>
      <c r="K8" s="4" t="s">
        <v>80</v>
      </c>
      <c r="L8" s="6" t="s">
        <v>81</v>
      </c>
    </row>
    <row r="9" spans="1:12" ht="72" customHeight="1">
      <c r="A9" s="4" t="s">
        <v>82</v>
      </c>
      <c r="B9" s="4" t="s">
        <v>30</v>
      </c>
      <c r="C9" s="4" t="s">
        <v>83</v>
      </c>
      <c r="D9" s="4" t="s">
        <v>42</v>
      </c>
      <c r="E9" s="4" t="s">
        <v>8</v>
      </c>
      <c r="F9" s="4" t="s">
        <v>8</v>
      </c>
      <c r="G9" s="4" t="s">
        <v>84</v>
      </c>
      <c r="H9" s="4" t="s">
        <v>84</v>
      </c>
      <c r="I9" s="4" t="s">
        <v>85</v>
      </c>
      <c r="J9" s="4" t="s">
        <v>86</v>
      </c>
      <c r="K9" s="4" t="s">
        <v>87</v>
      </c>
      <c r="L9" s="6" t="s">
        <v>88</v>
      </c>
    </row>
    <row r="10" spans="1:12" ht="72" customHeight="1">
      <c r="A10" s="4" t="s">
        <v>89</v>
      </c>
      <c r="B10" s="4" t="s">
        <v>30</v>
      </c>
      <c r="C10" s="4" t="s">
        <v>90</v>
      </c>
      <c r="D10" s="4" t="s">
        <v>42</v>
      </c>
      <c r="E10" s="4" t="s">
        <v>8</v>
      </c>
      <c r="F10" s="4" t="s">
        <v>8</v>
      </c>
      <c r="G10" s="4" t="s">
        <v>91</v>
      </c>
      <c r="H10" s="4" t="s">
        <v>91</v>
      </c>
      <c r="I10" s="4" t="s">
        <v>92</v>
      </c>
      <c r="J10" s="4" t="s">
        <v>93</v>
      </c>
      <c r="K10" s="4" t="s">
        <v>94</v>
      </c>
      <c r="L10" s="6" t="s">
        <v>95</v>
      </c>
    </row>
    <row r="11" spans="1:12" ht="72" customHeight="1">
      <c r="A11" s="4" t="s">
        <v>96</v>
      </c>
      <c r="B11" s="4" t="s">
        <v>30</v>
      </c>
      <c r="C11" s="4" t="s">
        <v>97</v>
      </c>
      <c r="D11" s="4" t="s">
        <v>32</v>
      </c>
      <c r="E11" s="4" t="s">
        <v>33</v>
      </c>
      <c r="F11" s="4" t="s">
        <v>33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102</v>
      </c>
      <c r="L11" s="6" t="s">
        <v>103</v>
      </c>
    </row>
    <row r="12" spans="1:12" ht="72" customHeight="1">
      <c r="A12" s="4" t="s">
        <v>104</v>
      </c>
      <c r="B12" s="4" t="s">
        <v>30</v>
      </c>
      <c r="C12" s="4" t="s">
        <v>105</v>
      </c>
      <c r="D12" s="4" t="s">
        <v>42</v>
      </c>
      <c r="E12" s="4" t="s">
        <v>8</v>
      </c>
      <c r="F12" s="4" t="s">
        <v>8</v>
      </c>
      <c r="G12" s="4" t="s">
        <v>106</v>
      </c>
      <c r="H12" s="4" t="s">
        <v>106</v>
      </c>
      <c r="I12" s="4" t="s">
        <v>107</v>
      </c>
      <c r="J12" s="4" t="s">
        <v>108</v>
      </c>
      <c r="K12" s="4" t="s">
        <v>109</v>
      </c>
      <c r="L12" s="6" t="s">
        <v>110</v>
      </c>
    </row>
    <row r="13" spans="1:12" ht="72" customHeight="1">
      <c r="A13" s="4" t="s">
        <v>111</v>
      </c>
      <c r="B13" s="4" t="s">
        <v>30</v>
      </c>
      <c r="C13" s="4" t="s">
        <v>112</v>
      </c>
      <c r="D13" s="4" t="s">
        <v>42</v>
      </c>
      <c r="E13" s="4" t="s">
        <v>8</v>
      </c>
      <c r="F13" s="4" t="s">
        <v>8</v>
      </c>
      <c r="G13" s="4" t="s">
        <v>113</v>
      </c>
      <c r="I13" s="4" t="s">
        <v>78</v>
      </c>
      <c r="J13" s="4" t="s">
        <v>114</v>
      </c>
      <c r="K13" s="4" t="s">
        <v>115</v>
      </c>
      <c r="L13" s="6" t="s">
        <v>116</v>
      </c>
    </row>
    <row r="14" spans="1:12" ht="72" customHeight="1">
      <c r="A14" s="4" t="s">
        <v>117</v>
      </c>
      <c r="B14" s="4" t="s">
        <v>30</v>
      </c>
      <c r="C14" s="4" t="s">
        <v>118</v>
      </c>
      <c r="D14" s="4" t="s">
        <v>42</v>
      </c>
      <c r="E14" s="4" t="s">
        <v>8</v>
      </c>
      <c r="F14" s="4" t="s">
        <v>8</v>
      </c>
      <c r="I14" s="4" t="s">
        <v>78</v>
      </c>
      <c r="J14" s="4" t="s">
        <v>119</v>
      </c>
      <c r="K14" s="4" t="s">
        <v>120</v>
      </c>
      <c r="L14" s="6" t="s">
        <v>116</v>
      </c>
    </row>
    <row r="15" spans="1:12" ht="72" customHeight="1">
      <c r="A15" s="4" t="s">
        <v>121</v>
      </c>
      <c r="B15" s="4" t="s">
        <v>30</v>
      </c>
      <c r="C15" s="4" t="s">
        <v>122</v>
      </c>
      <c r="D15" s="4" t="s">
        <v>42</v>
      </c>
      <c r="E15" s="4" t="s">
        <v>8</v>
      </c>
      <c r="F15" s="4" t="s">
        <v>8</v>
      </c>
      <c r="G15" s="4" t="s">
        <v>123</v>
      </c>
      <c r="H15" s="4" t="s">
        <v>123</v>
      </c>
      <c r="I15" s="4" t="s">
        <v>124</v>
      </c>
      <c r="J15" s="4" t="s">
        <v>125</v>
      </c>
      <c r="K15" s="4" t="s">
        <v>126</v>
      </c>
      <c r="L15" s="6" t="s">
        <v>116</v>
      </c>
    </row>
    <row r="16" spans="1:12" ht="72" customHeight="1">
      <c r="A16" s="4" t="s">
        <v>127</v>
      </c>
      <c r="B16" s="4" t="s">
        <v>128</v>
      </c>
      <c r="C16" s="4" t="s">
        <v>129</v>
      </c>
      <c r="D16" s="4" t="s">
        <v>32</v>
      </c>
      <c r="E16" s="4" t="s">
        <v>33</v>
      </c>
      <c r="F16" s="4" t="s">
        <v>33</v>
      </c>
      <c r="G16" s="4" t="s">
        <v>130</v>
      </c>
      <c r="H16" s="4" t="s">
        <v>131</v>
      </c>
      <c r="I16" s="4" t="s">
        <v>132</v>
      </c>
      <c r="J16" s="4" t="s">
        <v>133</v>
      </c>
      <c r="K16" s="4" t="s">
        <v>134</v>
      </c>
      <c r="L16" s="6" t="s">
        <v>39</v>
      </c>
    </row>
    <row r="17" spans="1:12" ht="72" customHeight="1">
      <c r="A17" s="4" t="s">
        <v>135</v>
      </c>
      <c r="B17" s="4" t="s">
        <v>128</v>
      </c>
      <c r="C17" s="4" t="s">
        <v>136</v>
      </c>
      <c r="D17" s="4" t="s">
        <v>32</v>
      </c>
      <c r="E17" s="4" t="s">
        <v>33</v>
      </c>
      <c r="F17" s="4" t="s">
        <v>33</v>
      </c>
      <c r="G17" s="4" t="s">
        <v>137</v>
      </c>
      <c r="H17" s="4" t="s">
        <v>138</v>
      </c>
      <c r="I17" s="4" t="s">
        <v>132</v>
      </c>
      <c r="J17" s="4" t="s">
        <v>139</v>
      </c>
      <c r="K17" s="4" t="s">
        <v>140</v>
      </c>
      <c r="L17" s="6" t="s">
        <v>141</v>
      </c>
    </row>
    <row r="18" spans="1:12" ht="72" customHeight="1">
      <c r="A18" s="4" t="s">
        <v>142</v>
      </c>
      <c r="B18" s="4" t="s">
        <v>128</v>
      </c>
      <c r="C18" s="4" t="s">
        <v>143</v>
      </c>
      <c r="D18" s="4" t="s">
        <v>32</v>
      </c>
      <c r="E18" s="4" t="s">
        <v>33</v>
      </c>
      <c r="F18" s="4" t="s">
        <v>33</v>
      </c>
      <c r="G18" s="4" t="s">
        <v>144</v>
      </c>
      <c r="H18" s="4" t="s">
        <v>145</v>
      </c>
      <c r="I18" s="4" t="s">
        <v>132</v>
      </c>
      <c r="J18" s="4" t="s">
        <v>146</v>
      </c>
      <c r="K18" s="4" t="s">
        <v>134</v>
      </c>
      <c r="L18" s="6" t="s">
        <v>147</v>
      </c>
    </row>
    <row r="19" spans="1:12" ht="72" customHeight="1">
      <c r="A19" s="4" t="s">
        <v>148</v>
      </c>
      <c r="B19" s="4" t="s">
        <v>128</v>
      </c>
      <c r="C19" s="4" t="s">
        <v>149</v>
      </c>
      <c r="D19" s="4" t="s">
        <v>32</v>
      </c>
      <c r="E19" s="4" t="s">
        <v>33</v>
      </c>
      <c r="F19" s="4" t="s">
        <v>33</v>
      </c>
      <c r="G19" s="4" t="s">
        <v>150</v>
      </c>
      <c r="H19" s="4" t="s">
        <v>151</v>
      </c>
      <c r="I19" s="4" t="s">
        <v>132</v>
      </c>
      <c r="J19" s="4" t="s">
        <v>152</v>
      </c>
      <c r="K19" s="4" t="s">
        <v>134</v>
      </c>
      <c r="L19" s="6" t="s">
        <v>153</v>
      </c>
    </row>
    <row r="20" spans="1:12" ht="72" customHeight="1">
      <c r="A20" s="4" t="s">
        <v>154</v>
      </c>
      <c r="B20" s="4" t="s">
        <v>128</v>
      </c>
      <c r="C20" s="4" t="s">
        <v>155</v>
      </c>
      <c r="D20" s="4" t="s">
        <v>32</v>
      </c>
      <c r="E20" s="4" t="s">
        <v>33</v>
      </c>
      <c r="F20" s="4" t="s">
        <v>33</v>
      </c>
      <c r="G20" s="4" t="s">
        <v>156</v>
      </c>
      <c r="H20" s="4" t="s">
        <v>157</v>
      </c>
      <c r="I20" s="4" t="s">
        <v>132</v>
      </c>
      <c r="J20" s="4" t="s">
        <v>158</v>
      </c>
      <c r="K20" s="4" t="s">
        <v>134</v>
      </c>
      <c r="L20" s="6" t="s">
        <v>159</v>
      </c>
    </row>
    <row r="21" spans="1:12" ht="72" customHeight="1">
      <c r="A21" s="4" t="s">
        <v>160</v>
      </c>
      <c r="B21" s="4" t="s">
        <v>128</v>
      </c>
      <c r="C21" s="4" t="s">
        <v>161</v>
      </c>
      <c r="D21" s="4" t="s">
        <v>32</v>
      </c>
      <c r="E21" s="4" t="s">
        <v>33</v>
      </c>
      <c r="F21" s="4" t="s">
        <v>33</v>
      </c>
      <c r="G21" s="4" t="s">
        <v>162</v>
      </c>
      <c r="H21" s="4" t="s">
        <v>163</v>
      </c>
      <c r="I21" s="4" t="s">
        <v>132</v>
      </c>
      <c r="J21" s="4" t="s">
        <v>164</v>
      </c>
      <c r="K21" s="4" t="s">
        <v>134</v>
      </c>
      <c r="L21" s="6" t="s">
        <v>165</v>
      </c>
    </row>
    <row r="22" spans="1:12" ht="72" customHeight="1">
      <c r="A22" s="4" t="s">
        <v>166</v>
      </c>
      <c r="B22" s="4" t="s">
        <v>128</v>
      </c>
      <c r="C22" s="4" t="s">
        <v>167</v>
      </c>
      <c r="D22" s="4" t="s">
        <v>32</v>
      </c>
      <c r="E22" s="4" t="s">
        <v>33</v>
      </c>
      <c r="F22" s="4" t="s">
        <v>33</v>
      </c>
      <c r="G22" s="4" t="s">
        <v>168</v>
      </c>
      <c r="H22" s="4" t="s">
        <v>169</v>
      </c>
      <c r="I22" s="4" t="s">
        <v>132</v>
      </c>
      <c r="J22" s="4" t="s">
        <v>170</v>
      </c>
      <c r="K22" s="4" t="s">
        <v>134</v>
      </c>
      <c r="L22" s="6" t="s">
        <v>165</v>
      </c>
    </row>
    <row r="23" spans="1:12" ht="72" customHeight="1">
      <c r="A23" s="4" t="s">
        <v>171</v>
      </c>
      <c r="B23" s="4" t="s">
        <v>128</v>
      </c>
      <c r="C23" s="4" t="s">
        <v>172</v>
      </c>
      <c r="D23" s="4" t="s">
        <v>32</v>
      </c>
      <c r="E23" s="4" t="s">
        <v>33</v>
      </c>
      <c r="F23" s="4" t="s">
        <v>33</v>
      </c>
      <c r="G23" s="4" t="s">
        <v>173</v>
      </c>
      <c r="H23" s="4" t="s">
        <v>174</v>
      </c>
      <c r="I23" s="4" t="s">
        <v>132</v>
      </c>
      <c r="J23" s="4" t="s">
        <v>175</v>
      </c>
      <c r="K23" s="4" t="s">
        <v>176</v>
      </c>
      <c r="L23" s="6" t="s">
        <v>153</v>
      </c>
    </row>
    <row r="24" spans="1:12" ht="72" customHeight="1">
      <c r="A24" s="4" t="s">
        <v>177</v>
      </c>
      <c r="B24" s="4" t="s">
        <v>128</v>
      </c>
      <c r="C24" s="4" t="s">
        <v>178</v>
      </c>
      <c r="D24" s="4" t="s">
        <v>32</v>
      </c>
      <c r="E24" s="4" t="s">
        <v>33</v>
      </c>
      <c r="F24" s="4" t="s">
        <v>33</v>
      </c>
      <c r="G24" s="4" t="s">
        <v>179</v>
      </c>
      <c r="H24" s="4" t="s">
        <v>180</v>
      </c>
      <c r="I24" s="4" t="s">
        <v>181</v>
      </c>
      <c r="J24" s="4" t="s">
        <v>182</v>
      </c>
      <c r="K24" s="4" t="s">
        <v>134</v>
      </c>
      <c r="L24" s="6" t="s">
        <v>183</v>
      </c>
    </row>
    <row r="25" spans="1:12" ht="72" customHeight="1">
      <c r="A25" s="4" t="s">
        <v>184</v>
      </c>
      <c r="B25" s="4" t="s">
        <v>128</v>
      </c>
      <c r="C25" s="4" t="s">
        <v>185</v>
      </c>
      <c r="D25" s="4" t="s">
        <v>32</v>
      </c>
      <c r="E25" s="4" t="s">
        <v>33</v>
      </c>
      <c r="F25" s="4" t="s">
        <v>33</v>
      </c>
      <c r="G25" s="4" t="s">
        <v>186</v>
      </c>
      <c r="H25" s="4" t="s">
        <v>187</v>
      </c>
      <c r="I25" s="4" t="s">
        <v>132</v>
      </c>
      <c r="J25" s="4" t="s">
        <v>188</v>
      </c>
      <c r="K25" s="4" t="s">
        <v>134</v>
      </c>
      <c r="L25" s="6" t="s">
        <v>110</v>
      </c>
    </row>
    <row r="26" spans="1:12" ht="72" customHeight="1">
      <c r="A26" s="4" t="s">
        <v>189</v>
      </c>
      <c r="B26" s="4" t="s">
        <v>190</v>
      </c>
      <c r="C26" s="4" t="s">
        <v>191</v>
      </c>
      <c r="D26" s="4" t="s">
        <v>42</v>
      </c>
      <c r="E26" s="4" t="s">
        <v>33</v>
      </c>
      <c r="F26" s="4" t="s">
        <v>33</v>
      </c>
      <c r="G26" s="4" t="s">
        <v>192</v>
      </c>
      <c r="H26" s="4" t="s">
        <v>192</v>
      </c>
      <c r="I26" s="4" t="s">
        <v>193</v>
      </c>
      <c r="J26" s="4" t="s">
        <v>194</v>
      </c>
      <c r="K26" s="4" t="s">
        <v>195</v>
      </c>
      <c r="L26" s="6" t="s">
        <v>39</v>
      </c>
    </row>
    <row r="27" spans="1:12" ht="72" customHeight="1">
      <c r="A27" s="4" t="s">
        <v>196</v>
      </c>
      <c r="B27" s="4" t="s">
        <v>190</v>
      </c>
      <c r="C27" s="4" t="s">
        <v>197</v>
      </c>
      <c r="D27" s="4" t="s">
        <v>42</v>
      </c>
      <c r="E27" s="4" t="s">
        <v>33</v>
      </c>
      <c r="F27" s="4" t="s">
        <v>33</v>
      </c>
      <c r="G27" s="4" t="s">
        <v>198</v>
      </c>
      <c r="H27" s="4" t="s">
        <v>198</v>
      </c>
      <c r="I27" s="4" t="s">
        <v>193</v>
      </c>
      <c r="J27" s="4" t="s">
        <v>199</v>
      </c>
      <c r="K27" s="4" t="s">
        <v>200</v>
      </c>
      <c r="L27" s="6" t="s">
        <v>159</v>
      </c>
    </row>
    <row r="28" spans="1:12" ht="72" customHeight="1">
      <c r="A28" s="4" t="s">
        <v>201</v>
      </c>
      <c r="B28" s="4" t="s">
        <v>190</v>
      </c>
      <c r="C28" s="4" t="s">
        <v>202</v>
      </c>
      <c r="D28" s="4" t="s">
        <v>42</v>
      </c>
      <c r="E28" s="4" t="s">
        <v>33</v>
      </c>
      <c r="F28" s="4" t="s">
        <v>33</v>
      </c>
      <c r="G28" s="4" t="s">
        <v>203</v>
      </c>
      <c r="H28" s="4" t="s">
        <v>203</v>
      </c>
      <c r="I28" s="4" t="s">
        <v>193</v>
      </c>
      <c r="J28" s="4" t="s">
        <v>204</v>
      </c>
      <c r="K28" s="4" t="s">
        <v>205</v>
      </c>
      <c r="L28" s="6" t="s">
        <v>141</v>
      </c>
    </row>
    <row r="29" spans="1:12" ht="72" customHeight="1">
      <c r="A29" s="4" t="s">
        <v>206</v>
      </c>
      <c r="B29" s="4" t="s">
        <v>190</v>
      </c>
      <c r="C29" s="4" t="s">
        <v>207</v>
      </c>
      <c r="D29" s="4" t="s">
        <v>42</v>
      </c>
      <c r="E29" s="4" t="s">
        <v>33</v>
      </c>
      <c r="F29" s="4" t="s">
        <v>33</v>
      </c>
      <c r="G29" s="4" t="s">
        <v>208</v>
      </c>
      <c r="H29" s="4" t="s">
        <v>208</v>
      </c>
      <c r="I29" s="4" t="s">
        <v>193</v>
      </c>
      <c r="J29" s="4" t="s">
        <v>209</v>
      </c>
      <c r="K29" s="4" t="s">
        <v>210</v>
      </c>
      <c r="L29" s="6" t="s">
        <v>159</v>
      </c>
    </row>
    <row r="30" spans="1:12" ht="72" customHeight="1">
      <c r="A30" s="4" t="s">
        <v>211</v>
      </c>
      <c r="B30" s="4" t="s">
        <v>190</v>
      </c>
      <c r="C30" s="4" t="s">
        <v>212</v>
      </c>
      <c r="D30" s="4" t="s">
        <v>42</v>
      </c>
      <c r="E30" s="4" t="s">
        <v>33</v>
      </c>
      <c r="F30" s="4" t="s">
        <v>33</v>
      </c>
      <c r="G30" s="4" t="s">
        <v>213</v>
      </c>
      <c r="H30" s="4" t="s">
        <v>213</v>
      </c>
      <c r="I30" s="4" t="s">
        <v>193</v>
      </c>
      <c r="J30" s="4" t="s">
        <v>214</v>
      </c>
      <c r="K30" s="4" t="s">
        <v>215</v>
      </c>
      <c r="L30" s="6" t="s">
        <v>95</v>
      </c>
    </row>
    <row r="31" spans="1:12" ht="72" customHeight="1">
      <c r="A31" s="4" t="s">
        <v>216</v>
      </c>
      <c r="B31" s="4" t="s">
        <v>190</v>
      </c>
      <c r="C31" s="4" t="s">
        <v>217</v>
      </c>
      <c r="D31" s="4" t="s">
        <v>42</v>
      </c>
      <c r="E31" s="4" t="s">
        <v>33</v>
      </c>
      <c r="F31" s="4" t="s">
        <v>33</v>
      </c>
      <c r="G31" s="4" t="s">
        <v>218</v>
      </c>
      <c r="H31" s="4" t="s">
        <v>218</v>
      </c>
      <c r="I31" s="4" t="s">
        <v>193</v>
      </c>
      <c r="J31" s="4" t="s">
        <v>219</v>
      </c>
      <c r="K31" s="4" t="s">
        <v>220</v>
      </c>
      <c r="L31" s="6" t="s">
        <v>81</v>
      </c>
    </row>
    <row r="32" spans="1:12" ht="72" customHeight="1">
      <c r="A32" s="4" t="s">
        <v>221</v>
      </c>
      <c r="B32" s="4" t="s">
        <v>190</v>
      </c>
      <c r="C32" s="4" t="s">
        <v>222</v>
      </c>
      <c r="D32" s="4" t="s">
        <v>42</v>
      </c>
      <c r="E32" s="4" t="s">
        <v>33</v>
      </c>
      <c r="F32" s="4" t="s">
        <v>33</v>
      </c>
      <c r="G32" s="4" t="s">
        <v>223</v>
      </c>
      <c r="H32" s="4" t="s">
        <v>223</v>
      </c>
      <c r="I32" s="4" t="s">
        <v>193</v>
      </c>
      <c r="J32" s="4" t="s">
        <v>224</v>
      </c>
      <c r="K32" s="4" t="s">
        <v>225</v>
      </c>
      <c r="L32" s="6" t="s">
        <v>88</v>
      </c>
    </row>
    <row r="33" spans="1:12" ht="72" customHeight="1">
      <c r="A33" s="4" t="s">
        <v>226</v>
      </c>
      <c r="B33" s="4" t="s">
        <v>190</v>
      </c>
      <c r="C33" s="4" t="s">
        <v>227</v>
      </c>
      <c r="D33" s="4" t="s">
        <v>42</v>
      </c>
      <c r="E33" s="4" t="s">
        <v>33</v>
      </c>
      <c r="F33" s="4" t="s">
        <v>33</v>
      </c>
      <c r="G33" s="4" t="s">
        <v>228</v>
      </c>
      <c r="H33" s="4" t="s">
        <v>228</v>
      </c>
      <c r="I33" s="4" t="s">
        <v>193</v>
      </c>
      <c r="J33" s="4" t="s">
        <v>229</v>
      </c>
      <c r="K33" s="4" t="s">
        <v>230</v>
      </c>
      <c r="L33" s="6" t="s">
        <v>116</v>
      </c>
    </row>
    <row r="34" spans="1:12" ht="72" customHeight="1">
      <c r="A34" s="4" t="s">
        <v>231</v>
      </c>
      <c r="B34" s="4" t="s">
        <v>190</v>
      </c>
      <c r="C34" s="4" t="s">
        <v>232</v>
      </c>
      <c r="D34" s="4" t="s">
        <v>42</v>
      </c>
      <c r="E34" s="4" t="s">
        <v>33</v>
      </c>
      <c r="F34" s="4" t="s">
        <v>33</v>
      </c>
      <c r="G34" s="4" t="s">
        <v>233</v>
      </c>
      <c r="H34" s="4" t="s">
        <v>233</v>
      </c>
      <c r="I34" s="4" t="s">
        <v>193</v>
      </c>
      <c r="J34" s="4" t="s">
        <v>234</v>
      </c>
      <c r="K34" s="4" t="s">
        <v>230</v>
      </c>
      <c r="L34" s="6" t="s">
        <v>165</v>
      </c>
    </row>
    <row r="35" spans="1:12" ht="72" customHeight="1">
      <c r="A35" s="4" t="s">
        <v>235</v>
      </c>
      <c r="B35" s="4" t="s">
        <v>236</v>
      </c>
      <c r="C35" s="4" t="s">
        <v>237</v>
      </c>
      <c r="D35" s="4" t="s">
        <v>42</v>
      </c>
      <c r="E35" s="4" t="s">
        <v>33</v>
      </c>
      <c r="F35" s="4" t="s">
        <v>33</v>
      </c>
      <c r="G35" s="4" t="s">
        <v>238</v>
      </c>
      <c r="H35" s="4" t="s">
        <v>238</v>
      </c>
      <c r="I35" s="4" t="s">
        <v>239</v>
      </c>
      <c r="J35" s="4" t="s">
        <v>240</v>
      </c>
      <c r="K35" s="4" t="s">
        <v>241</v>
      </c>
      <c r="L35" s="6" t="s">
        <v>39</v>
      </c>
    </row>
    <row r="36" spans="1:12" ht="72" customHeight="1">
      <c r="A36" s="4" t="s">
        <v>242</v>
      </c>
      <c r="B36" s="4" t="s">
        <v>236</v>
      </c>
      <c r="C36" s="4" t="s">
        <v>243</v>
      </c>
      <c r="D36" s="4" t="s">
        <v>42</v>
      </c>
      <c r="E36" s="4" t="s">
        <v>33</v>
      </c>
      <c r="F36" s="4" t="s">
        <v>33</v>
      </c>
      <c r="G36" s="4" t="s">
        <v>244</v>
      </c>
      <c r="H36" s="4" t="s">
        <v>244</v>
      </c>
      <c r="I36" s="4" t="s">
        <v>239</v>
      </c>
      <c r="J36" s="4" t="s">
        <v>245</v>
      </c>
      <c r="K36" s="4" t="s">
        <v>246</v>
      </c>
      <c r="L36" s="6" t="s">
        <v>159</v>
      </c>
    </row>
    <row r="37" spans="1:12" ht="72" customHeight="1">
      <c r="A37" s="4" t="s">
        <v>247</v>
      </c>
      <c r="B37" s="4" t="s">
        <v>236</v>
      </c>
      <c r="C37" s="4" t="s">
        <v>248</v>
      </c>
      <c r="D37" s="4" t="s">
        <v>42</v>
      </c>
      <c r="E37" s="4" t="s">
        <v>33</v>
      </c>
      <c r="F37" s="4" t="s">
        <v>33</v>
      </c>
      <c r="G37" s="4" t="s">
        <v>249</v>
      </c>
      <c r="H37" s="4" t="s">
        <v>249</v>
      </c>
      <c r="I37" s="4" t="s">
        <v>239</v>
      </c>
      <c r="J37" s="4" t="s">
        <v>250</v>
      </c>
      <c r="K37" s="4" t="s">
        <v>241</v>
      </c>
      <c r="L37" s="6" t="s">
        <v>165</v>
      </c>
    </row>
    <row r="38" spans="1:12" ht="72" customHeight="1">
      <c r="A38" s="4" t="s">
        <v>251</v>
      </c>
      <c r="B38" s="4" t="s">
        <v>236</v>
      </c>
      <c r="C38" s="4" t="s">
        <v>252</v>
      </c>
      <c r="D38" s="4" t="s">
        <v>42</v>
      </c>
      <c r="E38" s="4" t="s">
        <v>33</v>
      </c>
      <c r="F38" s="4" t="s">
        <v>33</v>
      </c>
      <c r="G38" s="4" t="s">
        <v>253</v>
      </c>
      <c r="H38" s="4" t="s">
        <v>253</v>
      </c>
      <c r="I38" s="4" t="s">
        <v>239</v>
      </c>
      <c r="J38" s="4" t="s">
        <v>254</v>
      </c>
      <c r="K38" s="4" t="s">
        <v>241</v>
      </c>
      <c r="L38" s="6" t="s">
        <v>153</v>
      </c>
    </row>
    <row r="39" spans="1:12" ht="72" customHeight="1">
      <c r="A39" s="4" t="s">
        <v>255</v>
      </c>
      <c r="B39" s="4" t="s">
        <v>236</v>
      </c>
      <c r="C39" s="4" t="s">
        <v>256</v>
      </c>
      <c r="D39" s="4" t="s">
        <v>42</v>
      </c>
      <c r="E39" s="4" t="s">
        <v>33</v>
      </c>
      <c r="F39" s="4" t="s">
        <v>33</v>
      </c>
      <c r="G39" s="4" t="s">
        <v>257</v>
      </c>
      <c r="H39" s="4" t="s">
        <v>257</v>
      </c>
      <c r="I39" s="4" t="s">
        <v>239</v>
      </c>
      <c r="J39" s="4" t="s">
        <v>258</v>
      </c>
      <c r="K39" s="4" t="s">
        <v>259</v>
      </c>
      <c r="L39" s="6" t="s">
        <v>95</v>
      </c>
    </row>
    <row r="40" spans="1:12" ht="72" customHeight="1">
      <c r="A40" s="4" t="s">
        <v>260</v>
      </c>
      <c r="B40" s="4" t="s">
        <v>236</v>
      </c>
      <c r="C40" s="4" t="s">
        <v>261</v>
      </c>
      <c r="D40" s="4" t="s">
        <v>42</v>
      </c>
      <c r="E40" s="4" t="s">
        <v>33</v>
      </c>
      <c r="F40" s="4" t="s">
        <v>33</v>
      </c>
      <c r="G40" s="4" t="s">
        <v>262</v>
      </c>
      <c r="H40" s="4" t="s">
        <v>262</v>
      </c>
      <c r="I40" s="4" t="s">
        <v>239</v>
      </c>
      <c r="J40" s="4" t="s">
        <v>263</v>
      </c>
      <c r="K40" s="4" t="s">
        <v>241</v>
      </c>
      <c r="L40" s="6" t="s">
        <v>165</v>
      </c>
    </row>
    <row r="41" spans="1:12" ht="72" customHeight="1">
      <c r="A41" s="4" t="s">
        <v>264</v>
      </c>
      <c r="B41" s="4" t="s">
        <v>236</v>
      </c>
      <c r="C41" s="4" t="s">
        <v>265</v>
      </c>
      <c r="D41" s="4" t="s">
        <v>42</v>
      </c>
      <c r="E41" s="4" t="s">
        <v>33</v>
      </c>
      <c r="F41" s="4" t="s">
        <v>33</v>
      </c>
      <c r="G41" s="4" t="s">
        <v>266</v>
      </c>
      <c r="H41" s="4" t="s">
        <v>266</v>
      </c>
      <c r="I41" s="4" t="s">
        <v>239</v>
      </c>
      <c r="J41" s="4" t="s">
        <v>267</v>
      </c>
      <c r="K41" s="4" t="s">
        <v>241</v>
      </c>
      <c r="L41" s="6" t="s">
        <v>110</v>
      </c>
    </row>
    <row r="42" spans="1:12" ht="72" customHeight="1">
      <c r="A42" s="4" t="s">
        <v>268</v>
      </c>
      <c r="B42" s="4" t="s">
        <v>269</v>
      </c>
      <c r="C42" s="4" t="s">
        <v>270</v>
      </c>
      <c r="D42" s="4" t="s">
        <v>42</v>
      </c>
      <c r="E42" s="4" t="s">
        <v>33</v>
      </c>
      <c r="F42" s="4" t="s">
        <v>33</v>
      </c>
      <c r="G42" s="4" t="s">
        <v>271</v>
      </c>
      <c r="H42" s="4" t="s">
        <v>271</v>
      </c>
      <c r="I42" s="4" t="s">
        <v>272</v>
      </c>
      <c r="J42" s="4" t="s">
        <v>273</v>
      </c>
      <c r="K42" s="4" t="s">
        <v>274</v>
      </c>
      <c r="L42" s="6" t="s">
        <v>39</v>
      </c>
    </row>
    <row r="43" spans="1:12" ht="72" customHeight="1">
      <c r="A43" s="4" t="s">
        <v>275</v>
      </c>
      <c r="B43" s="4" t="s">
        <v>269</v>
      </c>
      <c r="C43" s="4" t="s">
        <v>276</v>
      </c>
      <c r="D43" s="4" t="s">
        <v>42</v>
      </c>
      <c r="E43" s="4" t="s">
        <v>33</v>
      </c>
      <c r="F43" s="4" t="s">
        <v>33</v>
      </c>
      <c r="G43" s="4" t="s">
        <v>271</v>
      </c>
      <c r="H43" s="4" t="s">
        <v>271</v>
      </c>
      <c r="I43" s="4" t="s">
        <v>272</v>
      </c>
      <c r="J43" s="4" t="s">
        <v>277</v>
      </c>
      <c r="K43" s="4" t="s">
        <v>278</v>
      </c>
      <c r="L43" s="6" t="s">
        <v>147</v>
      </c>
    </row>
    <row r="44" spans="1:12" ht="72" customHeight="1">
      <c r="A44" s="4" t="s">
        <v>279</v>
      </c>
      <c r="B44" s="4" t="s">
        <v>269</v>
      </c>
      <c r="C44" s="4" t="s">
        <v>280</v>
      </c>
      <c r="D44" s="4" t="s">
        <v>42</v>
      </c>
      <c r="E44" s="4" t="s">
        <v>33</v>
      </c>
      <c r="F44" s="4" t="s">
        <v>33</v>
      </c>
      <c r="G44" s="4" t="s">
        <v>271</v>
      </c>
      <c r="H44" s="4" t="s">
        <v>271</v>
      </c>
      <c r="I44" s="4" t="s">
        <v>272</v>
      </c>
      <c r="J44" s="4" t="s">
        <v>281</v>
      </c>
      <c r="K44" s="4" t="s">
        <v>282</v>
      </c>
      <c r="L44" s="6" t="s">
        <v>165</v>
      </c>
    </row>
    <row r="45" spans="1:12" ht="72" customHeight="1">
      <c r="A45" s="4" t="s">
        <v>283</v>
      </c>
      <c r="B45" s="4" t="s">
        <v>269</v>
      </c>
      <c r="C45" s="4" t="s">
        <v>284</v>
      </c>
      <c r="D45" s="4" t="s">
        <v>42</v>
      </c>
      <c r="E45" s="4" t="s">
        <v>33</v>
      </c>
      <c r="F45" s="4" t="s">
        <v>33</v>
      </c>
      <c r="G45" s="4" t="s">
        <v>271</v>
      </c>
      <c r="H45" s="4" t="s">
        <v>271</v>
      </c>
      <c r="I45" s="4" t="s">
        <v>272</v>
      </c>
      <c r="J45" s="4" t="s">
        <v>285</v>
      </c>
      <c r="K45" s="4" t="s">
        <v>286</v>
      </c>
      <c r="L45" s="6" t="s">
        <v>159</v>
      </c>
    </row>
    <row r="46" spans="1:12" ht="72" customHeight="1">
      <c r="A46" s="4" t="s">
        <v>287</v>
      </c>
      <c r="B46" s="4" t="s">
        <v>269</v>
      </c>
      <c r="C46" s="4" t="s">
        <v>288</v>
      </c>
      <c r="D46" s="4" t="s">
        <v>42</v>
      </c>
      <c r="E46" s="4" t="s">
        <v>33</v>
      </c>
      <c r="F46" s="4" t="s">
        <v>33</v>
      </c>
      <c r="G46" s="4" t="s">
        <v>271</v>
      </c>
      <c r="H46" s="4" t="s">
        <v>271</v>
      </c>
      <c r="I46" s="4" t="s">
        <v>272</v>
      </c>
      <c r="J46" s="4" t="s">
        <v>289</v>
      </c>
      <c r="K46" s="4" t="s">
        <v>290</v>
      </c>
      <c r="L46" s="6" t="s">
        <v>88</v>
      </c>
    </row>
    <row r="47" spans="1:12" ht="72" customHeight="1">
      <c r="A47" s="4" t="s">
        <v>291</v>
      </c>
      <c r="B47" s="4" t="s">
        <v>292</v>
      </c>
      <c r="C47" s="4" t="s">
        <v>293</v>
      </c>
      <c r="D47" s="4" t="s">
        <v>42</v>
      </c>
      <c r="E47" s="4" t="s">
        <v>33</v>
      </c>
      <c r="F47" s="4" t="s">
        <v>33</v>
      </c>
      <c r="G47" s="4" t="s">
        <v>294</v>
      </c>
      <c r="H47" s="4" t="s">
        <v>295</v>
      </c>
      <c r="I47" s="4" t="s">
        <v>296</v>
      </c>
      <c r="J47" s="4" t="s">
        <v>297</v>
      </c>
      <c r="K47" s="4" t="s">
        <v>298</v>
      </c>
      <c r="L47" s="6" t="s">
        <v>39</v>
      </c>
    </row>
    <row r="48" spans="1:12" ht="72" customHeight="1">
      <c r="A48" s="4" t="s">
        <v>299</v>
      </c>
      <c r="B48" s="4" t="s">
        <v>292</v>
      </c>
      <c r="C48" s="4" t="s">
        <v>300</v>
      </c>
      <c r="D48" s="4" t="s">
        <v>42</v>
      </c>
      <c r="E48" s="4" t="s">
        <v>33</v>
      </c>
      <c r="F48" s="4" t="s">
        <v>33</v>
      </c>
      <c r="G48" s="4" t="s">
        <v>294</v>
      </c>
      <c r="H48" s="4" t="s">
        <v>295</v>
      </c>
      <c r="I48" s="4" t="s">
        <v>296</v>
      </c>
      <c r="J48" s="4" t="s">
        <v>301</v>
      </c>
      <c r="K48" s="4" t="s">
        <v>302</v>
      </c>
      <c r="L48" s="6" t="s">
        <v>88</v>
      </c>
    </row>
    <row r="49" spans="1:12" ht="72" customHeight="1">
      <c r="A49" s="4" t="s">
        <v>303</v>
      </c>
      <c r="B49" s="4" t="s">
        <v>292</v>
      </c>
      <c r="C49" s="4" t="s">
        <v>304</v>
      </c>
      <c r="D49" s="4" t="s">
        <v>42</v>
      </c>
      <c r="E49" s="4" t="s">
        <v>33</v>
      </c>
      <c r="F49" s="4" t="s">
        <v>33</v>
      </c>
      <c r="G49" s="4" t="s">
        <v>294</v>
      </c>
      <c r="H49" s="4" t="s">
        <v>295</v>
      </c>
      <c r="I49" s="4" t="s">
        <v>296</v>
      </c>
      <c r="J49" s="4" t="s">
        <v>305</v>
      </c>
      <c r="K49" s="4" t="s">
        <v>306</v>
      </c>
      <c r="L49" s="6" t="s">
        <v>307</v>
      </c>
    </row>
    <row r="50" spans="1:12" ht="72" customHeight="1">
      <c r="A50" s="4" t="s">
        <v>308</v>
      </c>
      <c r="B50" s="4" t="s">
        <v>292</v>
      </c>
      <c r="C50" s="4" t="s">
        <v>309</v>
      </c>
      <c r="D50" s="4" t="s">
        <v>42</v>
      </c>
      <c r="E50" s="4" t="s">
        <v>33</v>
      </c>
      <c r="F50" s="4" t="s">
        <v>33</v>
      </c>
      <c r="G50" s="4" t="s">
        <v>294</v>
      </c>
      <c r="H50" s="4" t="s">
        <v>295</v>
      </c>
      <c r="I50" s="4" t="s">
        <v>296</v>
      </c>
      <c r="J50" s="4" t="s">
        <v>310</v>
      </c>
      <c r="K50" s="4" t="s">
        <v>306</v>
      </c>
      <c r="L50" s="6" t="s">
        <v>311</v>
      </c>
    </row>
    <row r="51" spans="1:12" ht="72" customHeight="1">
      <c r="A51" s="4" t="s">
        <v>312</v>
      </c>
      <c r="B51" s="4" t="s">
        <v>292</v>
      </c>
      <c r="C51" s="4" t="s">
        <v>313</v>
      </c>
      <c r="D51" s="4" t="s">
        <v>42</v>
      </c>
      <c r="E51" s="4" t="s">
        <v>33</v>
      </c>
      <c r="F51" s="4" t="s">
        <v>33</v>
      </c>
      <c r="G51" s="4" t="s">
        <v>294</v>
      </c>
      <c r="H51" s="4" t="s">
        <v>295</v>
      </c>
      <c r="I51" s="4" t="s">
        <v>296</v>
      </c>
      <c r="J51" s="4" t="s">
        <v>314</v>
      </c>
      <c r="K51" s="4" t="s">
        <v>315</v>
      </c>
      <c r="L51" s="6" t="s">
        <v>95</v>
      </c>
    </row>
    <row r="52" spans="1:12" ht="72" customHeight="1">
      <c r="A52" s="4" t="s">
        <v>316</v>
      </c>
      <c r="B52" s="4" t="s">
        <v>292</v>
      </c>
      <c r="C52" s="4" t="s">
        <v>317</v>
      </c>
      <c r="D52" s="4" t="s">
        <v>42</v>
      </c>
      <c r="E52" s="4" t="s">
        <v>33</v>
      </c>
      <c r="F52" s="4" t="s">
        <v>33</v>
      </c>
      <c r="G52" s="4" t="s">
        <v>294</v>
      </c>
      <c r="H52" s="4" t="s">
        <v>295</v>
      </c>
      <c r="I52" s="4" t="s">
        <v>296</v>
      </c>
      <c r="J52" s="4" t="s">
        <v>318</v>
      </c>
      <c r="K52" s="4" t="s">
        <v>319</v>
      </c>
      <c r="L52" s="6" t="s">
        <v>88</v>
      </c>
    </row>
    <row r="53" spans="1:12" ht="72" customHeight="1">
      <c r="A53" s="4" t="s">
        <v>320</v>
      </c>
      <c r="B53" s="4" t="s">
        <v>292</v>
      </c>
      <c r="C53" s="4" t="s">
        <v>321</v>
      </c>
      <c r="D53" s="4" t="s">
        <v>42</v>
      </c>
      <c r="E53" s="4" t="s">
        <v>33</v>
      </c>
      <c r="F53" s="4" t="s">
        <v>33</v>
      </c>
      <c r="G53" s="4" t="s">
        <v>294</v>
      </c>
      <c r="H53" s="4" t="s">
        <v>295</v>
      </c>
      <c r="I53" s="4" t="s">
        <v>296</v>
      </c>
      <c r="J53" s="4" t="s">
        <v>322</v>
      </c>
      <c r="K53" s="4" t="s">
        <v>323</v>
      </c>
      <c r="L53" s="6" t="s">
        <v>116</v>
      </c>
    </row>
    <row r="54" spans="1:12" ht="72" customHeight="1">
      <c r="A54" s="4" t="s">
        <v>324</v>
      </c>
      <c r="B54" s="4" t="s">
        <v>325</v>
      </c>
      <c r="C54" s="4" t="s">
        <v>326</v>
      </c>
      <c r="D54" s="4" t="s">
        <v>42</v>
      </c>
      <c r="E54" s="4" t="s">
        <v>33</v>
      </c>
      <c r="F54" s="4" t="s">
        <v>33</v>
      </c>
      <c r="G54" s="4" t="s">
        <v>327</v>
      </c>
      <c r="H54" s="4" t="s">
        <v>328</v>
      </c>
      <c r="I54" s="4" t="s">
        <v>329</v>
      </c>
      <c r="J54" s="4" t="s">
        <v>330</v>
      </c>
      <c r="K54" s="4" t="s">
        <v>331</v>
      </c>
      <c r="L54" s="6" t="s">
        <v>147</v>
      </c>
    </row>
    <row r="55" spans="1:12" ht="72" customHeight="1">
      <c r="A55" s="4" t="s">
        <v>332</v>
      </c>
      <c r="B55" s="4" t="s">
        <v>325</v>
      </c>
      <c r="C55" s="4" t="s">
        <v>333</v>
      </c>
      <c r="D55" s="4" t="s">
        <v>42</v>
      </c>
      <c r="E55" s="4" t="s">
        <v>33</v>
      </c>
      <c r="F55" s="4" t="s">
        <v>33</v>
      </c>
      <c r="G55" s="4" t="s">
        <v>327</v>
      </c>
      <c r="H55" s="4" t="s">
        <v>328</v>
      </c>
      <c r="I55" s="4" t="s">
        <v>329</v>
      </c>
      <c r="J55" s="4" t="s">
        <v>334</v>
      </c>
      <c r="K55" s="4" t="s">
        <v>335</v>
      </c>
      <c r="L55" s="6" t="s">
        <v>88</v>
      </c>
    </row>
    <row r="56" spans="1:12" ht="72" customHeight="1">
      <c r="A56" s="4" t="s">
        <v>336</v>
      </c>
      <c r="B56" s="4" t="s">
        <v>325</v>
      </c>
      <c r="C56" s="4" t="s">
        <v>337</v>
      </c>
      <c r="D56" s="4" t="s">
        <v>42</v>
      </c>
      <c r="E56" s="4" t="s">
        <v>33</v>
      </c>
      <c r="F56" s="4" t="s">
        <v>33</v>
      </c>
      <c r="G56" s="4" t="s">
        <v>327</v>
      </c>
      <c r="H56" s="4" t="s">
        <v>328</v>
      </c>
      <c r="I56" s="4" t="s">
        <v>329</v>
      </c>
      <c r="J56" s="4" t="s">
        <v>338</v>
      </c>
      <c r="K56" s="4" t="s">
        <v>335</v>
      </c>
      <c r="L56" s="6" t="s">
        <v>81</v>
      </c>
    </row>
    <row r="57" spans="1:12" ht="72" customHeight="1">
      <c r="A57" s="4" t="s">
        <v>339</v>
      </c>
      <c r="B57" s="4" t="s">
        <v>325</v>
      </c>
      <c r="C57" s="4" t="s">
        <v>340</v>
      </c>
      <c r="D57" s="4" t="s">
        <v>42</v>
      </c>
      <c r="E57" s="4" t="s">
        <v>33</v>
      </c>
      <c r="F57" s="4" t="s">
        <v>33</v>
      </c>
      <c r="G57" s="4" t="s">
        <v>327</v>
      </c>
      <c r="H57" s="4" t="s">
        <v>328</v>
      </c>
      <c r="I57" s="4" t="s">
        <v>329</v>
      </c>
      <c r="J57" s="4" t="s">
        <v>341</v>
      </c>
      <c r="K57" s="4" t="s">
        <v>342</v>
      </c>
      <c r="L57" s="6" t="s">
        <v>103</v>
      </c>
    </row>
    <row r="58" spans="1:12" ht="72" customHeight="1">
      <c r="A58" s="4" t="s">
        <v>343</v>
      </c>
      <c r="B58" s="4" t="s">
        <v>325</v>
      </c>
      <c r="C58" s="4" t="s">
        <v>344</v>
      </c>
      <c r="D58" s="4" t="s">
        <v>42</v>
      </c>
      <c r="E58" s="4" t="s">
        <v>33</v>
      </c>
      <c r="F58" s="4" t="s">
        <v>33</v>
      </c>
      <c r="G58" s="4" t="s">
        <v>327</v>
      </c>
      <c r="H58" s="4" t="s">
        <v>328</v>
      </c>
      <c r="I58" s="4" t="s">
        <v>329</v>
      </c>
      <c r="J58" s="4" t="s">
        <v>345</v>
      </c>
      <c r="K58" s="4" t="s">
        <v>342</v>
      </c>
      <c r="L58" s="6" t="s">
        <v>88</v>
      </c>
    </row>
    <row r="59" spans="1:12" ht="72" customHeight="1">
      <c r="A59" s="4" t="s">
        <v>346</v>
      </c>
      <c r="B59" s="4" t="s">
        <v>347</v>
      </c>
      <c r="C59" s="4" t="s">
        <v>348</v>
      </c>
      <c r="D59" s="4" t="s">
        <v>42</v>
      </c>
      <c r="E59" s="4" t="s">
        <v>33</v>
      </c>
      <c r="F59" s="4" t="s">
        <v>33</v>
      </c>
      <c r="G59" s="4" t="s">
        <v>349</v>
      </c>
      <c r="H59" s="4" t="s">
        <v>350</v>
      </c>
      <c r="I59" s="4" t="s">
        <v>351</v>
      </c>
      <c r="J59" s="4" t="s">
        <v>352</v>
      </c>
      <c r="K59" s="4" t="s">
        <v>353</v>
      </c>
      <c r="L59" s="6" t="s">
        <v>165</v>
      </c>
    </row>
    <row r="60" spans="1:12" ht="72" customHeight="1">
      <c r="A60" s="4" t="s">
        <v>354</v>
      </c>
      <c r="B60" s="4" t="s">
        <v>347</v>
      </c>
      <c r="C60" s="4" t="s">
        <v>355</v>
      </c>
      <c r="D60" s="4" t="s">
        <v>42</v>
      </c>
      <c r="E60" s="4" t="s">
        <v>33</v>
      </c>
      <c r="F60" s="4" t="s">
        <v>33</v>
      </c>
      <c r="G60" s="4" t="s">
        <v>349</v>
      </c>
      <c r="H60" s="4" t="s">
        <v>350</v>
      </c>
      <c r="I60" s="4" t="s">
        <v>351</v>
      </c>
      <c r="J60" s="4" t="s">
        <v>356</v>
      </c>
      <c r="K60" s="4" t="s">
        <v>353</v>
      </c>
      <c r="L60" s="6" t="s">
        <v>103</v>
      </c>
    </row>
    <row r="61" spans="1:12" ht="72" customHeight="1">
      <c r="A61" s="4" t="s">
        <v>357</v>
      </c>
      <c r="B61" s="4" t="s">
        <v>347</v>
      </c>
      <c r="C61" s="4" t="s">
        <v>358</v>
      </c>
      <c r="D61" s="4" t="s">
        <v>42</v>
      </c>
      <c r="E61" s="4" t="s">
        <v>33</v>
      </c>
      <c r="F61" s="4" t="s">
        <v>33</v>
      </c>
      <c r="G61" s="4" t="s">
        <v>349</v>
      </c>
      <c r="H61" s="4" t="s">
        <v>350</v>
      </c>
      <c r="I61" s="4" t="s">
        <v>351</v>
      </c>
      <c r="J61" s="4" t="s">
        <v>359</v>
      </c>
      <c r="K61" s="4" t="s">
        <v>360</v>
      </c>
      <c r="L61" s="6" t="s">
        <v>81</v>
      </c>
    </row>
    <row r="62" spans="1:12" ht="72" customHeight="1">
      <c r="A62" s="4" t="s">
        <v>361</v>
      </c>
      <c r="B62" s="4" t="s">
        <v>362</v>
      </c>
      <c r="C62" s="4" t="s">
        <v>363</v>
      </c>
      <c r="D62" s="4" t="s">
        <v>42</v>
      </c>
      <c r="E62" s="4" t="s">
        <v>33</v>
      </c>
      <c r="F62" s="4" t="s">
        <v>33</v>
      </c>
      <c r="G62" s="4" t="s">
        <v>364</v>
      </c>
      <c r="H62" s="4" t="s">
        <v>365</v>
      </c>
      <c r="I62" s="4" t="s">
        <v>366</v>
      </c>
      <c r="J62" s="4" t="s">
        <v>367</v>
      </c>
      <c r="K62" s="4" t="s">
        <v>368</v>
      </c>
      <c r="L62" s="6" t="s">
        <v>39</v>
      </c>
    </row>
    <row r="63" spans="1:12" ht="72" customHeight="1">
      <c r="A63" s="4" t="s">
        <v>369</v>
      </c>
      <c r="B63" s="4" t="s">
        <v>362</v>
      </c>
      <c r="C63" s="4" t="s">
        <v>370</v>
      </c>
      <c r="D63" s="4" t="s">
        <v>42</v>
      </c>
      <c r="E63" s="4" t="s">
        <v>33</v>
      </c>
      <c r="F63" s="4" t="s">
        <v>33</v>
      </c>
      <c r="G63" s="4" t="s">
        <v>364</v>
      </c>
      <c r="H63" s="4" t="s">
        <v>365</v>
      </c>
      <c r="I63" s="4" t="s">
        <v>366</v>
      </c>
      <c r="J63" s="4" t="s">
        <v>371</v>
      </c>
      <c r="K63" s="4" t="s">
        <v>372</v>
      </c>
      <c r="L63" s="6" t="s">
        <v>141</v>
      </c>
    </row>
    <row r="64" spans="1:12" ht="72" customHeight="1">
      <c r="A64" s="4" t="s">
        <v>373</v>
      </c>
      <c r="B64" s="4" t="s">
        <v>362</v>
      </c>
      <c r="C64" s="4" t="s">
        <v>374</v>
      </c>
      <c r="D64" s="4" t="s">
        <v>42</v>
      </c>
      <c r="E64" s="4" t="s">
        <v>33</v>
      </c>
      <c r="F64" s="4" t="s">
        <v>33</v>
      </c>
      <c r="G64" s="4" t="s">
        <v>364</v>
      </c>
      <c r="H64" s="4" t="s">
        <v>365</v>
      </c>
      <c r="I64" s="4" t="s">
        <v>366</v>
      </c>
      <c r="J64" s="4" t="s">
        <v>375</v>
      </c>
      <c r="K64" s="4" t="s">
        <v>376</v>
      </c>
      <c r="L64" s="6" t="s">
        <v>147</v>
      </c>
    </row>
    <row r="65" spans="1:12" ht="72" customHeight="1">
      <c r="A65" s="4" t="s">
        <v>377</v>
      </c>
      <c r="B65" s="4" t="s">
        <v>362</v>
      </c>
      <c r="C65" s="4" t="s">
        <v>378</v>
      </c>
      <c r="D65" s="4" t="s">
        <v>42</v>
      </c>
      <c r="E65" s="4" t="s">
        <v>33</v>
      </c>
      <c r="F65" s="4" t="s">
        <v>33</v>
      </c>
      <c r="G65" s="4" t="s">
        <v>364</v>
      </c>
      <c r="H65" s="4" t="s">
        <v>365</v>
      </c>
      <c r="I65" s="4" t="s">
        <v>366</v>
      </c>
      <c r="J65" s="4" t="s">
        <v>379</v>
      </c>
      <c r="K65" s="4" t="s">
        <v>380</v>
      </c>
      <c r="L65" s="6" t="s">
        <v>95</v>
      </c>
    </row>
    <row r="66" spans="1:12" ht="72" customHeight="1">
      <c r="A66" s="4" t="s">
        <v>381</v>
      </c>
      <c r="B66" s="4" t="s">
        <v>362</v>
      </c>
      <c r="C66" s="4" t="s">
        <v>382</v>
      </c>
      <c r="D66" s="4" t="s">
        <v>42</v>
      </c>
      <c r="E66" s="4" t="s">
        <v>33</v>
      </c>
      <c r="F66" s="4" t="s">
        <v>33</v>
      </c>
      <c r="G66" s="4" t="s">
        <v>364</v>
      </c>
      <c r="H66" s="4" t="s">
        <v>365</v>
      </c>
      <c r="I66" s="4" t="s">
        <v>366</v>
      </c>
      <c r="J66" s="4" t="s">
        <v>383</v>
      </c>
      <c r="K66" s="4" t="s">
        <v>384</v>
      </c>
      <c r="L66" s="6" t="s">
        <v>165</v>
      </c>
    </row>
    <row r="67" spans="1:12" ht="72" customHeight="1">
      <c r="A67" s="4" t="s">
        <v>385</v>
      </c>
      <c r="B67" s="4" t="s">
        <v>362</v>
      </c>
      <c r="C67" s="4" t="s">
        <v>386</v>
      </c>
      <c r="D67" s="4" t="s">
        <v>42</v>
      </c>
      <c r="E67" s="4" t="s">
        <v>33</v>
      </c>
      <c r="F67" s="4" t="s">
        <v>33</v>
      </c>
      <c r="G67" s="4" t="s">
        <v>364</v>
      </c>
      <c r="H67" s="4" t="s">
        <v>365</v>
      </c>
      <c r="I67" s="4" t="s">
        <v>366</v>
      </c>
      <c r="J67" s="4" t="s">
        <v>387</v>
      </c>
      <c r="K67" s="4" t="s">
        <v>388</v>
      </c>
      <c r="L67" s="6" t="s">
        <v>141</v>
      </c>
    </row>
    <row r="68" spans="1:12" ht="72" customHeight="1">
      <c r="A68" s="4" t="s">
        <v>389</v>
      </c>
      <c r="B68" s="4" t="s">
        <v>362</v>
      </c>
      <c r="C68" s="4" t="s">
        <v>390</v>
      </c>
      <c r="D68" s="4" t="s">
        <v>42</v>
      </c>
      <c r="E68" s="4" t="s">
        <v>33</v>
      </c>
      <c r="F68" s="4" t="s">
        <v>33</v>
      </c>
      <c r="G68" s="4" t="s">
        <v>364</v>
      </c>
      <c r="H68" s="4" t="s">
        <v>365</v>
      </c>
      <c r="I68" s="4" t="s">
        <v>366</v>
      </c>
      <c r="J68" s="4" t="s">
        <v>391</v>
      </c>
      <c r="K68" s="4" t="s">
        <v>368</v>
      </c>
      <c r="L68" s="6" t="s">
        <v>147</v>
      </c>
    </row>
    <row r="69" spans="1:12" ht="72" customHeight="1">
      <c r="A69" s="4" t="s">
        <v>392</v>
      </c>
      <c r="B69" s="4" t="s">
        <v>362</v>
      </c>
      <c r="C69" s="4" t="s">
        <v>393</v>
      </c>
      <c r="D69" s="4" t="s">
        <v>42</v>
      </c>
      <c r="E69" s="4" t="s">
        <v>33</v>
      </c>
      <c r="F69" s="4" t="s">
        <v>33</v>
      </c>
      <c r="G69" s="4" t="s">
        <v>364</v>
      </c>
      <c r="H69" s="4" t="s">
        <v>365</v>
      </c>
      <c r="I69" s="4" t="s">
        <v>366</v>
      </c>
      <c r="J69" s="4" t="s">
        <v>394</v>
      </c>
      <c r="K69" s="4" t="s">
        <v>368</v>
      </c>
      <c r="L69" s="6" t="s">
        <v>95</v>
      </c>
    </row>
    <row r="70" spans="1:12" ht="72" customHeight="1">
      <c r="A70" s="4" t="s">
        <v>395</v>
      </c>
      <c r="B70" s="4" t="s">
        <v>362</v>
      </c>
      <c r="C70" s="4" t="s">
        <v>396</v>
      </c>
      <c r="D70" s="4" t="s">
        <v>42</v>
      </c>
      <c r="E70" s="4" t="s">
        <v>33</v>
      </c>
      <c r="F70" s="4" t="s">
        <v>33</v>
      </c>
      <c r="G70" s="4" t="s">
        <v>364</v>
      </c>
      <c r="H70" s="4" t="s">
        <v>365</v>
      </c>
      <c r="I70" s="4" t="s">
        <v>366</v>
      </c>
      <c r="J70" s="4" t="s">
        <v>397</v>
      </c>
      <c r="K70" s="4" t="s">
        <v>368</v>
      </c>
      <c r="L70" s="6" t="s">
        <v>95</v>
      </c>
    </row>
    <row r="71" spans="1:12" ht="72" customHeight="1">
      <c r="A71" s="4" t="s">
        <v>398</v>
      </c>
      <c r="B71" s="4" t="s">
        <v>362</v>
      </c>
      <c r="C71" s="4" t="s">
        <v>399</v>
      </c>
      <c r="D71" s="4" t="s">
        <v>42</v>
      </c>
      <c r="E71" s="4" t="s">
        <v>33</v>
      </c>
      <c r="F71" s="4" t="s">
        <v>33</v>
      </c>
      <c r="G71" s="4" t="s">
        <v>364</v>
      </c>
      <c r="H71" s="4" t="s">
        <v>365</v>
      </c>
      <c r="I71" s="4" t="s">
        <v>366</v>
      </c>
      <c r="J71" s="4" t="s">
        <v>400</v>
      </c>
      <c r="K71" s="4" t="s">
        <v>368</v>
      </c>
      <c r="L71" s="6" t="s">
        <v>88</v>
      </c>
    </row>
    <row r="72" spans="1:12" ht="72" customHeight="1">
      <c r="A72" s="4" t="s">
        <v>401</v>
      </c>
      <c r="B72" s="4" t="s">
        <v>362</v>
      </c>
      <c r="C72" s="4" t="s">
        <v>402</v>
      </c>
      <c r="D72" s="4" t="s">
        <v>42</v>
      </c>
      <c r="E72" s="4" t="s">
        <v>33</v>
      </c>
      <c r="F72" s="4" t="s">
        <v>33</v>
      </c>
      <c r="G72" s="4" t="s">
        <v>364</v>
      </c>
      <c r="H72" s="4" t="s">
        <v>365</v>
      </c>
      <c r="I72" s="4" t="s">
        <v>366</v>
      </c>
      <c r="J72" s="4" t="s">
        <v>403</v>
      </c>
      <c r="K72" s="4" t="s">
        <v>368</v>
      </c>
      <c r="L72" s="6" t="s">
        <v>165</v>
      </c>
    </row>
    <row r="73" spans="1:12" ht="72" customHeight="1">
      <c r="A73" s="4" t="s">
        <v>404</v>
      </c>
      <c r="B73" s="4" t="s">
        <v>362</v>
      </c>
      <c r="C73" s="4" t="s">
        <v>405</v>
      </c>
      <c r="D73" s="4" t="s">
        <v>42</v>
      </c>
      <c r="E73" s="4" t="s">
        <v>33</v>
      </c>
      <c r="F73" s="4" t="s">
        <v>33</v>
      </c>
      <c r="G73" s="4" t="s">
        <v>364</v>
      </c>
      <c r="H73" s="4" t="s">
        <v>365</v>
      </c>
      <c r="I73" s="4" t="s">
        <v>366</v>
      </c>
      <c r="J73" s="4" t="s">
        <v>406</v>
      </c>
      <c r="K73" s="4" t="s">
        <v>407</v>
      </c>
      <c r="L73" s="6" t="s">
        <v>408</v>
      </c>
    </row>
    <row r="74" spans="1:12" ht="72" customHeight="1">
      <c r="A74" s="4" t="s">
        <v>409</v>
      </c>
      <c r="B74" s="4" t="s">
        <v>362</v>
      </c>
      <c r="C74" s="4" t="s">
        <v>410</v>
      </c>
      <c r="D74" s="4" t="s">
        <v>42</v>
      </c>
      <c r="E74" s="4" t="s">
        <v>33</v>
      </c>
      <c r="F74" s="4" t="s">
        <v>33</v>
      </c>
      <c r="G74" s="4" t="s">
        <v>364</v>
      </c>
      <c r="H74" s="4" t="s">
        <v>365</v>
      </c>
      <c r="I74" s="4" t="s">
        <v>366</v>
      </c>
      <c r="J74" s="4" t="s">
        <v>411</v>
      </c>
      <c r="K74" s="4" t="s">
        <v>368</v>
      </c>
      <c r="L74" s="6" t="s">
        <v>88</v>
      </c>
    </row>
    <row r="75" spans="1:12" ht="72" customHeight="1">
      <c r="A75" s="4" t="s">
        <v>412</v>
      </c>
      <c r="B75" s="4" t="s">
        <v>362</v>
      </c>
      <c r="C75" s="4" t="s">
        <v>413</v>
      </c>
      <c r="D75" s="4" t="s">
        <v>42</v>
      </c>
      <c r="E75" s="4" t="s">
        <v>33</v>
      </c>
      <c r="F75" s="4" t="s">
        <v>33</v>
      </c>
      <c r="G75" s="4" t="s">
        <v>364</v>
      </c>
      <c r="H75" s="4" t="s">
        <v>365</v>
      </c>
      <c r="I75" s="4" t="s">
        <v>366</v>
      </c>
      <c r="J75" s="4" t="s">
        <v>414</v>
      </c>
      <c r="K75" s="4" t="s">
        <v>368</v>
      </c>
      <c r="L75" s="6" t="s">
        <v>153</v>
      </c>
    </row>
    <row r="76" spans="1:12" ht="72" customHeight="1">
      <c r="A76" s="4" t="s">
        <v>415</v>
      </c>
      <c r="B76" s="4" t="s">
        <v>362</v>
      </c>
      <c r="C76" s="4" t="s">
        <v>416</v>
      </c>
      <c r="D76" s="4" t="s">
        <v>42</v>
      </c>
      <c r="E76" s="4" t="s">
        <v>33</v>
      </c>
      <c r="F76" s="4" t="s">
        <v>33</v>
      </c>
      <c r="G76" s="4" t="s">
        <v>364</v>
      </c>
      <c r="H76" s="4" t="s">
        <v>365</v>
      </c>
      <c r="I76" s="4" t="s">
        <v>366</v>
      </c>
      <c r="J76" s="4" t="s">
        <v>417</v>
      </c>
      <c r="K76" s="4" t="s">
        <v>368</v>
      </c>
      <c r="L76" s="6" t="s">
        <v>183</v>
      </c>
    </row>
    <row r="77" spans="1:12" ht="72" customHeight="1">
      <c r="A77" s="4" t="s">
        <v>418</v>
      </c>
      <c r="B77" s="4" t="s">
        <v>362</v>
      </c>
      <c r="C77" s="4" t="s">
        <v>419</v>
      </c>
      <c r="D77" s="4" t="s">
        <v>42</v>
      </c>
      <c r="E77" s="4" t="s">
        <v>33</v>
      </c>
      <c r="F77" s="4" t="s">
        <v>33</v>
      </c>
      <c r="G77" s="4" t="s">
        <v>364</v>
      </c>
      <c r="H77" s="4" t="s">
        <v>365</v>
      </c>
      <c r="I77" s="4" t="s">
        <v>366</v>
      </c>
      <c r="J77" s="4" t="s">
        <v>420</v>
      </c>
      <c r="K77" s="4" t="s">
        <v>368</v>
      </c>
      <c r="L77" s="6" t="s">
        <v>159</v>
      </c>
    </row>
    <row r="78" spans="1:12" ht="72" customHeight="1">
      <c r="A78" s="4" t="s">
        <v>421</v>
      </c>
      <c r="B78" s="4" t="s">
        <v>422</v>
      </c>
      <c r="C78" s="4" t="s">
        <v>423</v>
      </c>
      <c r="D78" s="4" t="s">
        <v>42</v>
      </c>
      <c r="E78" s="4" t="s">
        <v>33</v>
      </c>
      <c r="F78" s="4" t="s">
        <v>33</v>
      </c>
      <c r="G78" s="4" t="s">
        <v>424</v>
      </c>
      <c r="H78" s="4" t="s">
        <v>424</v>
      </c>
      <c r="I78" s="4" t="s">
        <v>425</v>
      </c>
      <c r="J78" s="4" t="s">
        <v>426</v>
      </c>
      <c r="K78" s="4" t="s">
        <v>427</v>
      </c>
      <c r="L78" s="6" t="s">
        <v>39</v>
      </c>
    </row>
    <row r="79" spans="1:12" ht="72" customHeight="1">
      <c r="A79" s="4" t="s">
        <v>428</v>
      </c>
      <c r="B79" s="4" t="s">
        <v>422</v>
      </c>
      <c r="C79" s="4" t="s">
        <v>429</v>
      </c>
      <c r="D79" s="4" t="s">
        <v>42</v>
      </c>
      <c r="E79" s="4" t="s">
        <v>33</v>
      </c>
      <c r="F79" s="4" t="s">
        <v>33</v>
      </c>
      <c r="G79" s="4" t="s">
        <v>424</v>
      </c>
      <c r="H79" s="4" t="s">
        <v>424</v>
      </c>
      <c r="I79" s="4" t="s">
        <v>425</v>
      </c>
      <c r="J79" s="4" t="s">
        <v>430</v>
      </c>
      <c r="K79" s="4" t="s">
        <v>427</v>
      </c>
      <c r="L79" s="6" t="s">
        <v>159</v>
      </c>
    </row>
    <row r="80" spans="1:12" ht="72" customHeight="1">
      <c r="A80" s="4" t="s">
        <v>431</v>
      </c>
      <c r="B80" s="4" t="s">
        <v>422</v>
      </c>
      <c r="C80" s="4" t="s">
        <v>432</v>
      </c>
      <c r="D80" s="4" t="s">
        <v>42</v>
      </c>
      <c r="E80" s="4" t="s">
        <v>33</v>
      </c>
      <c r="F80" s="4" t="s">
        <v>33</v>
      </c>
      <c r="G80" s="4" t="s">
        <v>424</v>
      </c>
      <c r="H80" s="4" t="s">
        <v>424</v>
      </c>
      <c r="I80" s="4" t="s">
        <v>425</v>
      </c>
      <c r="J80" s="4" t="s">
        <v>433</v>
      </c>
      <c r="K80" s="4" t="s">
        <v>434</v>
      </c>
      <c r="L80" s="6" t="s">
        <v>141</v>
      </c>
    </row>
    <row r="81" spans="1:12" ht="72" customHeight="1">
      <c r="A81" s="4" t="s">
        <v>435</v>
      </c>
      <c r="B81" s="4" t="s">
        <v>422</v>
      </c>
      <c r="C81" s="4" t="s">
        <v>436</v>
      </c>
      <c r="D81" s="4" t="s">
        <v>42</v>
      </c>
      <c r="E81" s="4" t="s">
        <v>33</v>
      </c>
      <c r="F81" s="4" t="s">
        <v>33</v>
      </c>
      <c r="G81" s="4" t="s">
        <v>424</v>
      </c>
      <c r="H81" s="4" t="s">
        <v>424</v>
      </c>
      <c r="I81" s="4" t="s">
        <v>425</v>
      </c>
      <c r="J81" s="4" t="s">
        <v>437</v>
      </c>
      <c r="K81" s="4" t="s">
        <v>434</v>
      </c>
      <c r="L81" s="6" t="s">
        <v>95</v>
      </c>
    </row>
    <row r="82" spans="1:12" ht="72" customHeight="1">
      <c r="A82" s="4" t="s">
        <v>438</v>
      </c>
      <c r="B82" s="4" t="s">
        <v>422</v>
      </c>
      <c r="C82" s="4" t="s">
        <v>439</v>
      </c>
      <c r="D82" s="4" t="s">
        <v>42</v>
      </c>
      <c r="E82" s="4" t="s">
        <v>33</v>
      </c>
      <c r="F82" s="4" t="s">
        <v>33</v>
      </c>
      <c r="G82" s="4" t="s">
        <v>424</v>
      </c>
      <c r="H82" s="4" t="s">
        <v>424</v>
      </c>
      <c r="I82" s="4" t="s">
        <v>425</v>
      </c>
      <c r="J82" s="4" t="s">
        <v>440</v>
      </c>
      <c r="K82" s="4" t="s">
        <v>434</v>
      </c>
      <c r="L82" s="6" t="s">
        <v>88</v>
      </c>
    </row>
    <row r="83" spans="1:12" ht="72" customHeight="1">
      <c r="A83" s="4" t="s">
        <v>441</v>
      </c>
      <c r="B83" s="4" t="s">
        <v>422</v>
      </c>
      <c r="C83" s="4" t="s">
        <v>442</v>
      </c>
      <c r="D83" s="4" t="s">
        <v>42</v>
      </c>
      <c r="E83" s="4" t="s">
        <v>33</v>
      </c>
      <c r="F83" s="4" t="s">
        <v>33</v>
      </c>
      <c r="G83" s="4" t="s">
        <v>424</v>
      </c>
      <c r="H83" s="4" t="s">
        <v>424</v>
      </c>
      <c r="I83" s="4" t="s">
        <v>425</v>
      </c>
      <c r="J83" s="4" t="s">
        <v>443</v>
      </c>
      <c r="K83" s="4" t="s">
        <v>427</v>
      </c>
      <c r="L83" s="6" t="s">
        <v>153</v>
      </c>
    </row>
    <row r="84" spans="1:12" ht="72" customHeight="1">
      <c r="A84" s="4" t="s">
        <v>444</v>
      </c>
      <c r="B84" s="4" t="s">
        <v>445</v>
      </c>
      <c r="C84" s="4" t="s">
        <v>446</v>
      </c>
      <c r="D84" s="4" t="s">
        <v>42</v>
      </c>
      <c r="E84" s="4" t="s">
        <v>33</v>
      </c>
      <c r="F84" s="4" t="s">
        <v>33</v>
      </c>
      <c r="G84" s="4" t="s">
        <v>447</v>
      </c>
      <c r="H84" s="4" t="s">
        <v>447</v>
      </c>
      <c r="I84" s="4" t="s">
        <v>448</v>
      </c>
      <c r="J84" s="4" t="s">
        <v>449</v>
      </c>
      <c r="K84" s="4" t="s">
        <v>450</v>
      </c>
      <c r="L84" s="6" t="s">
        <v>39</v>
      </c>
    </row>
    <row r="85" spans="1:12" ht="72" customHeight="1">
      <c r="A85" s="4" t="s">
        <v>451</v>
      </c>
      <c r="B85" s="4" t="s">
        <v>445</v>
      </c>
      <c r="C85" s="4" t="s">
        <v>452</v>
      </c>
      <c r="D85" s="4" t="s">
        <v>42</v>
      </c>
      <c r="E85" s="4" t="s">
        <v>33</v>
      </c>
      <c r="F85" s="4" t="s">
        <v>33</v>
      </c>
      <c r="G85" s="4" t="s">
        <v>447</v>
      </c>
      <c r="H85" s="4" t="s">
        <v>447</v>
      </c>
      <c r="I85" s="4" t="s">
        <v>448</v>
      </c>
      <c r="J85" s="4" t="s">
        <v>453</v>
      </c>
      <c r="K85" s="4" t="s">
        <v>450</v>
      </c>
      <c r="L85" s="6" t="s">
        <v>165</v>
      </c>
    </row>
    <row r="86" spans="1:12" ht="72" customHeight="1">
      <c r="A86" s="4" t="s">
        <v>454</v>
      </c>
      <c r="B86" s="4" t="s">
        <v>445</v>
      </c>
      <c r="C86" s="4" t="s">
        <v>455</v>
      </c>
      <c r="D86" s="4" t="s">
        <v>42</v>
      </c>
      <c r="E86" s="4" t="s">
        <v>33</v>
      </c>
      <c r="F86" s="4" t="s">
        <v>33</v>
      </c>
      <c r="G86" s="4" t="s">
        <v>447</v>
      </c>
      <c r="H86" s="4" t="s">
        <v>447</v>
      </c>
      <c r="I86" s="4" t="s">
        <v>448</v>
      </c>
      <c r="J86" s="4" t="s">
        <v>456</v>
      </c>
      <c r="K86" s="4" t="s">
        <v>450</v>
      </c>
      <c r="L86" s="6" t="s">
        <v>159</v>
      </c>
    </row>
    <row r="87" spans="1:12" ht="72" customHeight="1">
      <c r="A87" s="4" t="s">
        <v>457</v>
      </c>
      <c r="B87" s="4" t="s">
        <v>445</v>
      </c>
      <c r="C87" s="4" t="s">
        <v>458</v>
      </c>
      <c r="D87" s="4" t="s">
        <v>42</v>
      </c>
      <c r="E87" s="4" t="s">
        <v>33</v>
      </c>
      <c r="F87" s="4" t="s">
        <v>33</v>
      </c>
      <c r="G87" s="4" t="s">
        <v>447</v>
      </c>
      <c r="H87" s="4" t="s">
        <v>447</v>
      </c>
      <c r="I87" s="4" t="s">
        <v>448</v>
      </c>
      <c r="J87" s="4" t="s">
        <v>459</v>
      </c>
      <c r="K87" s="4" t="s">
        <v>460</v>
      </c>
      <c r="L87" s="6" t="s">
        <v>95</v>
      </c>
    </row>
    <row r="88" spans="1:12" ht="72" customHeight="1">
      <c r="A88" s="4" t="s">
        <v>461</v>
      </c>
      <c r="B88" s="4" t="s">
        <v>445</v>
      </c>
      <c r="C88" s="4" t="s">
        <v>462</v>
      </c>
      <c r="D88" s="4" t="s">
        <v>42</v>
      </c>
      <c r="E88" s="4" t="s">
        <v>33</v>
      </c>
      <c r="F88" s="4" t="s">
        <v>33</v>
      </c>
      <c r="G88" s="4" t="s">
        <v>447</v>
      </c>
      <c r="H88" s="4" t="s">
        <v>447</v>
      </c>
      <c r="I88" s="4" t="s">
        <v>448</v>
      </c>
      <c r="J88" s="4" t="s">
        <v>463</v>
      </c>
      <c r="K88" s="4" t="s">
        <v>460</v>
      </c>
      <c r="L88" s="6" t="s">
        <v>153</v>
      </c>
    </row>
    <row r="89" spans="1:12" ht="72" customHeight="1">
      <c r="A89" s="4" t="s">
        <v>464</v>
      </c>
      <c r="B89" s="4" t="s">
        <v>445</v>
      </c>
      <c r="C89" s="4" t="s">
        <v>465</v>
      </c>
      <c r="D89" s="4" t="s">
        <v>42</v>
      </c>
      <c r="E89" s="4" t="s">
        <v>33</v>
      </c>
      <c r="F89" s="4" t="s">
        <v>33</v>
      </c>
      <c r="G89" s="4" t="s">
        <v>447</v>
      </c>
      <c r="H89" s="4" t="s">
        <v>447</v>
      </c>
      <c r="I89" s="4" t="s">
        <v>448</v>
      </c>
      <c r="J89" s="4" t="s">
        <v>466</v>
      </c>
      <c r="K89" s="4" t="s">
        <v>460</v>
      </c>
      <c r="L89" s="6" t="s">
        <v>153</v>
      </c>
    </row>
    <row r="90" spans="1:12" ht="72" customHeight="1">
      <c r="A90" s="4" t="s">
        <v>467</v>
      </c>
      <c r="B90" s="4" t="s">
        <v>445</v>
      </c>
      <c r="C90" s="4" t="s">
        <v>468</v>
      </c>
      <c r="D90" s="4" t="s">
        <v>42</v>
      </c>
      <c r="E90" s="4" t="s">
        <v>33</v>
      </c>
      <c r="F90" s="4" t="s">
        <v>33</v>
      </c>
      <c r="G90" s="4" t="s">
        <v>447</v>
      </c>
      <c r="H90" s="4" t="s">
        <v>447</v>
      </c>
      <c r="I90" s="4" t="s">
        <v>448</v>
      </c>
      <c r="J90" s="4" t="s">
        <v>469</v>
      </c>
      <c r="K90" s="4" t="s">
        <v>460</v>
      </c>
      <c r="L90" s="6" t="s">
        <v>88</v>
      </c>
    </row>
    <row r="91" spans="1:12" ht="72" customHeight="1">
      <c r="A91" s="4" t="s">
        <v>470</v>
      </c>
      <c r="B91" s="4" t="s">
        <v>445</v>
      </c>
      <c r="C91" s="4" t="s">
        <v>471</v>
      </c>
      <c r="D91" s="4" t="s">
        <v>42</v>
      </c>
      <c r="E91" s="4" t="s">
        <v>33</v>
      </c>
      <c r="F91" s="4" t="s">
        <v>33</v>
      </c>
      <c r="G91" s="4" t="s">
        <v>447</v>
      </c>
      <c r="H91" s="4" t="s">
        <v>447</v>
      </c>
      <c r="I91" s="4" t="s">
        <v>448</v>
      </c>
      <c r="J91" s="4" t="s">
        <v>472</v>
      </c>
      <c r="K91" s="4" t="s">
        <v>460</v>
      </c>
      <c r="L91" s="6" t="s">
        <v>153</v>
      </c>
    </row>
    <row r="92" spans="1:12" ht="72" customHeight="1">
      <c r="A92" s="4" t="s">
        <v>473</v>
      </c>
      <c r="B92" s="4" t="s">
        <v>445</v>
      </c>
      <c r="C92" s="4" t="s">
        <v>474</v>
      </c>
      <c r="D92" s="4" t="s">
        <v>42</v>
      </c>
      <c r="E92" s="4" t="s">
        <v>33</v>
      </c>
      <c r="F92" s="4" t="s">
        <v>33</v>
      </c>
      <c r="G92" s="4" t="s">
        <v>447</v>
      </c>
      <c r="H92" s="4" t="s">
        <v>447</v>
      </c>
      <c r="I92" s="4" t="s">
        <v>448</v>
      </c>
      <c r="J92" s="4" t="s">
        <v>475</v>
      </c>
      <c r="K92" s="4" t="s">
        <v>460</v>
      </c>
      <c r="L92" s="6" t="s">
        <v>88</v>
      </c>
    </row>
    <row r="93" spans="1:12" ht="72" customHeight="1">
      <c r="A93" s="4" t="s">
        <v>476</v>
      </c>
      <c r="B93" s="4" t="s">
        <v>477</v>
      </c>
      <c r="C93" s="4" t="s">
        <v>478</v>
      </c>
      <c r="D93" s="4" t="s">
        <v>42</v>
      </c>
      <c r="E93" s="4" t="s">
        <v>33</v>
      </c>
      <c r="F93" s="4" t="s">
        <v>33</v>
      </c>
      <c r="G93" s="4" t="s">
        <v>447</v>
      </c>
      <c r="H93" s="4" t="s">
        <v>447</v>
      </c>
      <c r="I93" s="4" t="s">
        <v>479</v>
      </c>
      <c r="J93" s="4" t="s">
        <v>480</v>
      </c>
      <c r="K93" s="4" t="s">
        <v>481</v>
      </c>
      <c r="L93" s="6" t="s">
        <v>39</v>
      </c>
    </row>
    <row r="94" spans="1:12" ht="72" customHeight="1">
      <c r="A94" s="4" t="s">
        <v>482</v>
      </c>
      <c r="B94" s="4" t="s">
        <v>477</v>
      </c>
      <c r="C94" s="4" t="s">
        <v>483</v>
      </c>
      <c r="D94" s="4" t="s">
        <v>42</v>
      </c>
      <c r="E94" s="4" t="s">
        <v>33</v>
      </c>
      <c r="F94" s="4" t="s">
        <v>33</v>
      </c>
      <c r="G94" s="4" t="s">
        <v>447</v>
      </c>
      <c r="H94" s="4" t="s">
        <v>447</v>
      </c>
      <c r="I94" s="4" t="s">
        <v>479</v>
      </c>
      <c r="J94" s="4" t="s">
        <v>484</v>
      </c>
      <c r="K94" s="4" t="s">
        <v>481</v>
      </c>
      <c r="L94" s="6" t="s">
        <v>95</v>
      </c>
    </row>
    <row r="95" spans="1:12" ht="72" customHeight="1">
      <c r="A95" s="4" t="s">
        <v>485</v>
      </c>
      <c r="B95" s="4" t="s">
        <v>477</v>
      </c>
      <c r="C95" s="4" t="s">
        <v>486</v>
      </c>
      <c r="D95" s="4" t="s">
        <v>42</v>
      </c>
      <c r="E95" s="4" t="s">
        <v>33</v>
      </c>
      <c r="F95" s="4" t="s">
        <v>33</v>
      </c>
      <c r="G95" s="4" t="s">
        <v>447</v>
      </c>
      <c r="H95" s="4" t="s">
        <v>447</v>
      </c>
      <c r="I95" s="4" t="s">
        <v>479</v>
      </c>
      <c r="J95" s="4" t="s">
        <v>487</v>
      </c>
      <c r="K95" s="4" t="s">
        <v>488</v>
      </c>
      <c r="L95" s="6" t="s">
        <v>88</v>
      </c>
    </row>
    <row r="96" spans="1:12" ht="72" customHeight="1">
      <c r="A96" s="4" t="s">
        <v>489</v>
      </c>
      <c r="B96" s="4" t="s">
        <v>490</v>
      </c>
      <c r="C96" s="4" t="s">
        <v>374</v>
      </c>
      <c r="D96" s="4" t="s">
        <v>42</v>
      </c>
      <c r="E96" s="4" t="s">
        <v>33</v>
      </c>
      <c r="F96" s="4" t="s">
        <v>33</v>
      </c>
      <c r="G96" s="4" t="s">
        <v>491</v>
      </c>
      <c r="H96" s="4" t="s">
        <v>491</v>
      </c>
      <c r="I96" s="4" t="s">
        <v>492</v>
      </c>
      <c r="J96" s="4" t="s">
        <v>493</v>
      </c>
      <c r="K96" s="4" t="s">
        <v>494</v>
      </c>
      <c r="L96" s="6" t="s">
        <v>147</v>
      </c>
    </row>
    <row r="97" spans="1:12" ht="72" customHeight="1">
      <c r="A97" s="4" t="s">
        <v>495</v>
      </c>
      <c r="B97" s="4" t="s">
        <v>490</v>
      </c>
      <c r="C97" s="4" t="s">
        <v>496</v>
      </c>
      <c r="D97" s="4" t="s">
        <v>42</v>
      </c>
      <c r="E97" s="4" t="s">
        <v>33</v>
      </c>
      <c r="F97" s="4" t="s">
        <v>33</v>
      </c>
      <c r="G97" s="4" t="s">
        <v>491</v>
      </c>
      <c r="H97" s="4" t="s">
        <v>491</v>
      </c>
      <c r="I97" s="4" t="s">
        <v>492</v>
      </c>
      <c r="J97" s="4" t="s">
        <v>497</v>
      </c>
      <c r="K97" s="4" t="s">
        <v>498</v>
      </c>
      <c r="L97" s="6" t="s">
        <v>165</v>
      </c>
    </row>
    <row r="98" spans="1:12" ht="72" customHeight="1">
      <c r="A98" s="4" t="s">
        <v>499</v>
      </c>
      <c r="B98" s="4" t="s">
        <v>490</v>
      </c>
      <c r="C98" s="4" t="s">
        <v>500</v>
      </c>
      <c r="D98" s="4" t="s">
        <v>42</v>
      </c>
      <c r="E98" s="4" t="s">
        <v>33</v>
      </c>
      <c r="F98" s="4" t="s">
        <v>33</v>
      </c>
      <c r="G98" s="4" t="s">
        <v>491</v>
      </c>
      <c r="H98" s="4" t="s">
        <v>491</v>
      </c>
      <c r="I98" s="4" t="s">
        <v>492</v>
      </c>
      <c r="J98" s="4" t="s">
        <v>501</v>
      </c>
      <c r="K98" s="4" t="s">
        <v>502</v>
      </c>
      <c r="L98" s="6" t="s">
        <v>81</v>
      </c>
    </row>
    <row r="99" spans="1:12" ht="72" customHeight="1">
      <c r="A99" s="4" t="s">
        <v>503</v>
      </c>
      <c r="B99" s="4" t="s">
        <v>490</v>
      </c>
      <c r="C99" s="4" t="s">
        <v>504</v>
      </c>
      <c r="D99" s="4" t="s">
        <v>42</v>
      </c>
      <c r="E99" s="4" t="s">
        <v>33</v>
      </c>
      <c r="F99" s="4" t="s">
        <v>33</v>
      </c>
      <c r="G99" s="4" t="s">
        <v>491</v>
      </c>
      <c r="H99" s="4" t="s">
        <v>491</v>
      </c>
      <c r="I99" s="4" t="s">
        <v>492</v>
      </c>
      <c r="J99" s="4" t="s">
        <v>505</v>
      </c>
      <c r="K99" s="4" t="s">
        <v>506</v>
      </c>
      <c r="L99" s="6" t="s">
        <v>116</v>
      </c>
    </row>
    <row r="100" spans="1:12" ht="72" customHeight="1">
      <c r="A100" s="4" t="s">
        <v>507</v>
      </c>
      <c r="B100" s="4" t="s">
        <v>508</v>
      </c>
      <c r="C100" s="4" t="s">
        <v>509</v>
      </c>
      <c r="D100" s="4" t="s">
        <v>42</v>
      </c>
      <c r="E100" s="4" t="s">
        <v>33</v>
      </c>
      <c r="F100" s="4" t="s">
        <v>33</v>
      </c>
      <c r="G100" s="4" t="s">
        <v>510</v>
      </c>
      <c r="H100" s="4" t="s">
        <v>510</v>
      </c>
      <c r="I100" s="4" t="s">
        <v>511</v>
      </c>
      <c r="J100" s="4" t="s">
        <v>512</v>
      </c>
      <c r="K100" s="4" t="s">
        <v>513</v>
      </c>
      <c r="L100" s="6" t="s">
        <v>159</v>
      </c>
    </row>
    <row r="101" spans="1:12" ht="72" customHeight="1">
      <c r="A101" s="4" t="s">
        <v>514</v>
      </c>
      <c r="B101" s="4" t="s">
        <v>508</v>
      </c>
      <c r="C101" s="4" t="s">
        <v>515</v>
      </c>
      <c r="D101" s="4" t="s">
        <v>42</v>
      </c>
      <c r="E101" s="4" t="s">
        <v>33</v>
      </c>
      <c r="F101" s="4" t="s">
        <v>33</v>
      </c>
      <c r="G101" s="4" t="s">
        <v>510</v>
      </c>
      <c r="H101" s="4" t="s">
        <v>510</v>
      </c>
      <c r="I101" s="4" t="s">
        <v>511</v>
      </c>
      <c r="J101" s="4" t="s">
        <v>516</v>
      </c>
      <c r="K101" s="4" t="s">
        <v>517</v>
      </c>
      <c r="L101" s="6" t="s">
        <v>518</v>
      </c>
    </row>
    <row r="102" spans="1:12" ht="72" customHeight="1">
      <c r="A102" s="4" t="s">
        <v>519</v>
      </c>
      <c r="B102" s="4" t="s">
        <v>508</v>
      </c>
      <c r="C102" s="4" t="s">
        <v>520</v>
      </c>
      <c r="D102" s="4" t="s">
        <v>42</v>
      </c>
      <c r="E102" s="4" t="s">
        <v>33</v>
      </c>
      <c r="F102" s="4" t="s">
        <v>33</v>
      </c>
      <c r="G102" s="4" t="s">
        <v>510</v>
      </c>
      <c r="H102" s="4" t="s">
        <v>510</v>
      </c>
      <c r="I102" s="4" t="s">
        <v>511</v>
      </c>
      <c r="J102" s="4" t="s">
        <v>521</v>
      </c>
      <c r="K102" s="4" t="s">
        <v>513</v>
      </c>
      <c r="L102" s="6" t="s">
        <v>165</v>
      </c>
    </row>
    <row r="103" spans="1:12" ht="72" customHeight="1">
      <c r="A103" s="4" t="s">
        <v>522</v>
      </c>
      <c r="B103" s="4" t="s">
        <v>508</v>
      </c>
      <c r="C103" s="4" t="s">
        <v>523</v>
      </c>
      <c r="D103" s="4" t="s">
        <v>42</v>
      </c>
      <c r="E103" s="4" t="s">
        <v>33</v>
      </c>
      <c r="F103" s="4" t="s">
        <v>33</v>
      </c>
      <c r="G103" s="4" t="s">
        <v>510</v>
      </c>
      <c r="H103" s="4" t="s">
        <v>510</v>
      </c>
      <c r="I103" s="4" t="s">
        <v>511</v>
      </c>
      <c r="J103" s="4" t="s">
        <v>524</v>
      </c>
      <c r="K103" s="4" t="s">
        <v>513</v>
      </c>
      <c r="L103" s="6" t="s">
        <v>518</v>
      </c>
    </row>
    <row r="104" spans="1:12" ht="72" customHeight="1">
      <c r="A104" s="4" t="s">
        <v>525</v>
      </c>
      <c r="B104" s="4" t="s">
        <v>508</v>
      </c>
      <c r="C104" s="4" t="s">
        <v>526</v>
      </c>
      <c r="D104" s="4" t="s">
        <v>42</v>
      </c>
      <c r="E104" s="4" t="s">
        <v>33</v>
      </c>
      <c r="F104" s="4" t="s">
        <v>33</v>
      </c>
      <c r="G104" s="4" t="s">
        <v>510</v>
      </c>
      <c r="H104" s="4" t="s">
        <v>510</v>
      </c>
      <c r="I104" s="4" t="s">
        <v>511</v>
      </c>
      <c r="J104" s="4" t="s">
        <v>527</v>
      </c>
      <c r="K104" s="4" t="s">
        <v>513</v>
      </c>
      <c r="L104" s="6" t="s">
        <v>518</v>
      </c>
    </row>
    <row r="105" spans="1:12" ht="72" customHeight="1">
      <c r="A105" s="4" t="s">
        <v>528</v>
      </c>
      <c r="B105" s="4" t="s">
        <v>508</v>
      </c>
      <c r="C105" s="4" t="s">
        <v>529</v>
      </c>
      <c r="D105" s="4" t="s">
        <v>42</v>
      </c>
      <c r="E105" s="4" t="s">
        <v>33</v>
      </c>
      <c r="F105" s="4" t="s">
        <v>33</v>
      </c>
      <c r="G105" s="4" t="s">
        <v>510</v>
      </c>
      <c r="H105" s="4" t="s">
        <v>510</v>
      </c>
      <c r="I105" s="4" t="s">
        <v>511</v>
      </c>
      <c r="J105" s="4" t="s">
        <v>530</v>
      </c>
      <c r="K105" s="4" t="s">
        <v>513</v>
      </c>
      <c r="L105" s="6" t="s">
        <v>153</v>
      </c>
    </row>
    <row r="106" spans="1:12" ht="72" customHeight="1">
      <c r="A106" s="4" t="s">
        <v>531</v>
      </c>
      <c r="B106" s="4" t="s">
        <v>508</v>
      </c>
      <c r="C106" s="4" t="s">
        <v>532</v>
      </c>
      <c r="D106" s="4" t="s">
        <v>42</v>
      </c>
      <c r="E106" s="4" t="s">
        <v>33</v>
      </c>
      <c r="F106" s="4" t="s">
        <v>33</v>
      </c>
      <c r="G106" s="4" t="s">
        <v>510</v>
      </c>
      <c r="H106" s="4" t="s">
        <v>510</v>
      </c>
      <c r="I106" s="4" t="s">
        <v>511</v>
      </c>
      <c r="J106" s="4" t="s">
        <v>533</v>
      </c>
      <c r="K106" s="4" t="s">
        <v>513</v>
      </c>
      <c r="L106" s="6" t="s">
        <v>165</v>
      </c>
    </row>
    <row r="107" spans="1:12" ht="72" customHeight="1">
      <c r="A107" s="4" t="s">
        <v>534</v>
      </c>
      <c r="B107" s="4" t="s">
        <v>508</v>
      </c>
      <c r="C107" s="4" t="s">
        <v>535</v>
      </c>
      <c r="D107" s="4" t="s">
        <v>42</v>
      </c>
      <c r="E107" s="4" t="s">
        <v>33</v>
      </c>
      <c r="F107" s="4" t="s">
        <v>33</v>
      </c>
      <c r="G107" s="4" t="s">
        <v>510</v>
      </c>
      <c r="H107" s="4" t="s">
        <v>510</v>
      </c>
      <c r="I107" s="4" t="s">
        <v>511</v>
      </c>
      <c r="J107" s="4" t="s">
        <v>536</v>
      </c>
      <c r="K107" s="4" t="s">
        <v>513</v>
      </c>
      <c r="L107" s="6" t="s">
        <v>103</v>
      </c>
    </row>
    <row r="108" spans="1:12" ht="72" customHeight="1">
      <c r="A108" s="4" t="s">
        <v>537</v>
      </c>
      <c r="B108" s="4" t="s">
        <v>508</v>
      </c>
      <c r="C108" s="4" t="s">
        <v>538</v>
      </c>
      <c r="D108" s="4" t="s">
        <v>42</v>
      </c>
      <c r="E108" s="4" t="s">
        <v>33</v>
      </c>
      <c r="F108" s="4" t="s">
        <v>33</v>
      </c>
      <c r="G108" s="4" t="s">
        <v>510</v>
      </c>
      <c r="H108" s="4" t="s">
        <v>510</v>
      </c>
      <c r="I108" s="4" t="s">
        <v>511</v>
      </c>
      <c r="J108" s="4" t="s">
        <v>539</v>
      </c>
      <c r="K108" s="4" t="s">
        <v>513</v>
      </c>
      <c r="L108" s="6" t="s">
        <v>88</v>
      </c>
    </row>
    <row r="109" spans="1:12" ht="72" customHeight="1">
      <c r="A109" s="4" t="s">
        <v>540</v>
      </c>
      <c r="B109" s="4" t="s">
        <v>541</v>
      </c>
      <c r="C109" s="4" t="s">
        <v>542</v>
      </c>
      <c r="D109" s="4" t="s">
        <v>42</v>
      </c>
      <c r="E109" s="4" t="s">
        <v>33</v>
      </c>
      <c r="F109" s="4" t="s">
        <v>33</v>
      </c>
      <c r="G109" s="4" t="s">
        <v>543</v>
      </c>
      <c r="H109" s="4" t="s">
        <v>543</v>
      </c>
      <c r="I109" s="4" t="s">
        <v>544</v>
      </c>
      <c r="J109" s="4" t="s">
        <v>545</v>
      </c>
      <c r="K109" s="4" t="s">
        <v>546</v>
      </c>
      <c r="L109" s="6" t="s">
        <v>518</v>
      </c>
    </row>
    <row r="110" spans="1:12" ht="72" customHeight="1">
      <c r="A110" s="4" t="s">
        <v>547</v>
      </c>
      <c r="B110" s="4" t="s">
        <v>541</v>
      </c>
      <c r="C110" s="4" t="s">
        <v>548</v>
      </c>
      <c r="D110" s="4" t="s">
        <v>42</v>
      </c>
      <c r="E110" s="4" t="s">
        <v>33</v>
      </c>
      <c r="F110" s="4" t="s">
        <v>33</v>
      </c>
      <c r="G110" s="4" t="s">
        <v>543</v>
      </c>
      <c r="H110" s="4" t="s">
        <v>543</v>
      </c>
      <c r="I110" s="4" t="s">
        <v>544</v>
      </c>
      <c r="J110" s="4" t="s">
        <v>549</v>
      </c>
      <c r="K110" s="4" t="s">
        <v>546</v>
      </c>
      <c r="L110" s="6" t="s">
        <v>116</v>
      </c>
    </row>
    <row r="111" spans="1:12" ht="72" customHeight="1">
      <c r="A111" s="4" t="s">
        <v>550</v>
      </c>
      <c r="B111" s="4" t="s">
        <v>541</v>
      </c>
      <c r="C111" s="4" t="s">
        <v>551</v>
      </c>
      <c r="D111" s="4" t="s">
        <v>42</v>
      </c>
      <c r="E111" s="4" t="s">
        <v>33</v>
      </c>
      <c r="F111" s="4" t="s">
        <v>33</v>
      </c>
      <c r="G111" s="4" t="s">
        <v>543</v>
      </c>
      <c r="H111" s="4" t="s">
        <v>543</v>
      </c>
      <c r="I111" s="4" t="s">
        <v>544</v>
      </c>
      <c r="J111" s="4" t="s">
        <v>552</v>
      </c>
      <c r="K111" s="4" t="s">
        <v>546</v>
      </c>
      <c r="L111" s="6" t="s">
        <v>518</v>
      </c>
    </row>
    <row r="112" spans="1:12" ht="72" customHeight="1">
      <c r="A112" s="4" t="s">
        <v>553</v>
      </c>
      <c r="B112" s="4" t="s">
        <v>541</v>
      </c>
      <c r="C112" s="4" t="s">
        <v>554</v>
      </c>
      <c r="D112" s="4" t="s">
        <v>42</v>
      </c>
      <c r="E112" s="4" t="s">
        <v>33</v>
      </c>
      <c r="F112" s="4" t="s">
        <v>33</v>
      </c>
      <c r="G112" s="4" t="s">
        <v>543</v>
      </c>
      <c r="H112" s="4" t="s">
        <v>543</v>
      </c>
      <c r="I112" s="4" t="s">
        <v>544</v>
      </c>
      <c r="J112" s="4" t="s">
        <v>555</v>
      </c>
      <c r="K112" s="4" t="s">
        <v>546</v>
      </c>
      <c r="L112" s="6" t="s">
        <v>165</v>
      </c>
    </row>
    <row r="113" spans="1:12" ht="72" customHeight="1">
      <c r="A113" s="4" t="s">
        <v>556</v>
      </c>
      <c r="B113" s="4" t="s">
        <v>557</v>
      </c>
      <c r="C113" s="4" t="s">
        <v>558</v>
      </c>
      <c r="D113" s="4" t="s">
        <v>42</v>
      </c>
      <c r="E113" s="4" t="s">
        <v>33</v>
      </c>
      <c r="F113" s="4" t="s">
        <v>33</v>
      </c>
      <c r="G113" s="4" t="s">
        <v>559</v>
      </c>
      <c r="H113" s="4" t="s">
        <v>560</v>
      </c>
      <c r="I113" s="4" t="s">
        <v>561</v>
      </c>
      <c r="J113" s="4" t="s">
        <v>562</v>
      </c>
      <c r="K113" s="4" t="s">
        <v>563</v>
      </c>
      <c r="L113" s="6" t="s">
        <v>39</v>
      </c>
    </row>
    <row r="114" spans="1:12" ht="72" customHeight="1">
      <c r="A114" s="4" t="s">
        <v>564</v>
      </c>
      <c r="B114" s="4" t="s">
        <v>557</v>
      </c>
      <c r="C114" s="4" t="s">
        <v>565</v>
      </c>
      <c r="D114" s="4" t="s">
        <v>42</v>
      </c>
      <c r="E114" s="4" t="s">
        <v>33</v>
      </c>
      <c r="F114" s="4" t="s">
        <v>33</v>
      </c>
      <c r="G114" s="4" t="s">
        <v>559</v>
      </c>
      <c r="H114" s="4" t="s">
        <v>560</v>
      </c>
      <c r="I114" s="4" t="s">
        <v>561</v>
      </c>
      <c r="J114" s="4" t="s">
        <v>566</v>
      </c>
      <c r="K114" s="4" t="s">
        <v>567</v>
      </c>
      <c r="L114" s="6" t="s">
        <v>518</v>
      </c>
    </row>
    <row r="115" spans="1:12" ht="72" customHeight="1">
      <c r="A115" s="4" t="s">
        <v>568</v>
      </c>
      <c r="B115" s="4" t="s">
        <v>557</v>
      </c>
      <c r="C115" s="4" t="s">
        <v>569</v>
      </c>
      <c r="D115" s="4" t="s">
        <v>42</v>
      </c>
      <c r="E115" s="4" t="s">
        <v>33</v>
      </c>
      <c r="F115" s="4" t="s">
        <v>33</v>
      </c>
      <c r="G115" s="4" t="s">
        <v>559</v>
      </c>
      <c r="H115" s="4" t="s">
        <v>560</v>
      </c>
      <c r="I115" s="4" t="s">
        <v>561</v>
      </c>
      <c r="J115" s="4" t="s">
        <v>570</v>
      </c>
      <c r="K115" s="4" t="s">
        <v>567</v>
      </c>
      <c r="L115" s="6" t="s">
        <v>88</v>
      </c>
    </row>
    <row r="116" spans="1:12" ht="72" customHeight="1">
      <c r="A116" s="4" t="s">
        <v>571</v>
      </c>
      <c r="B116" s="4" t="s">
        <v>557</v>
      </c>
      <c r="C116" s="4" t="s">
        <v>572</v>
      </c>
      <c r="D116" s="4" t="s">
        <v>42</v>
      </c>
      <c r="E116" s="4" t="s">
        <v>33</v>
      </c>
      <c r="F116" s="4" t="s">
        <v>33</v>
      </c>
      <c r="G116" s="4" t="s">
        <v>559</v>
      </c>
      <c r="H116" s="4" t="s">
        <v>560</v>
      </c>
      <c r="I116" s="4" t="s">
        <v>561</v>
      </c>
      <c r="J116" s="4" t="s">
        <v>573</v>
      </c>
      <c r="K116" s="4" t="s">
        <v>567</v>
      </c>
      <c r="L116" s="6" t="s">
        <v>307</v>
      </c>
    </row>
    <row r="117" spans="1:12" ht="72" customHeight="1">
      <c r="A117" s="4" t="s">
        <v>574</v>
      </c>
      <c r="B117" s="4" t="s">
        <v>557</v>
      </c>
      <c r="C117" s="4" t="s">
        <v>575</v>
      </c>
      <c r="D117" s="4" t="s">
        <v>42</v>
      </c>
      <c r="E117" s="4" t="s">
        <v>33</v>
      </c>
      <c r="F117" s="4" t="s">
        <v>33</v>
      </c>
      <c r="G117" s="4" t="s">
        <v>559</v>
      </c>
      <c r="H117" s="4" t="s">
        <v>560</v>
      </c>
      <c r="I117" s="4" t="s">
        <v>561</v>
      </c>
      <c r="J117" s="4" t="s">
        <v>576</v>
      </c>
      <c r="K117" s="4" t="s">
        <v>577</v>
      </c>
      <c r="L117" s="6" t="s">
        <v>311</v>
      </c>
    </row>
    <row r="118" spans="1:12" ht="72" customHeight="1">
      <c r="A118" s="4" t="s">
        <v>578</v>
      </c>
      <c r="B118" s="4" t="s">
        <v>557</v>
      </c>
      <c r="C118" s="4" t="s">
        <v>579</v>
      </c>
      <c r="D118" s="4" t="s">
        <v>42</v>
      </c>
      <c r="E118" s="4" t="s">
        <v>33</v>
      </c>
      <c r="F118" s="4" t="s">
        <v>33</v>
      </c>
      <c r="G118" s="4" t="s">
        <v>559</v>
      </c>
      <c r="H118" s="4" t="s">
        <v>560</v>
      </c>
      <c r="I118" s="4" t="s">
        <v>561</v>
      </c>
      <c r="J118" s="4" t="s">
        <v>580</v>
      </c>
      <c r="K118" s="4" t="s">
        <v>581</v>
      </c>
      <c r="L118" s="6" t="s">
        <v>81</v>
      </c>
    </row>
    <row r="119" spans="1:12" ht="72" customHeight="1">
      <c r="A119" s="4" t="s">
        <v>582</v>
      </c>
      <c r="B119" s="4" t="s">
        <v>557</v>
      </c>
      <c r="C119" s="4" t="s">
        <v>583</v>
      </c>
      <c r="D119" s="4" t="s">
        <v>42</v>
      </c>
      <c r="E119" s="4" t="s">
        <v>33</v>
      </c>
      <c r="F119" s="4" t="s">
        <v>33</v>
      </c>
      <c r="G119" s="4" t="s">
        <v>559</v>
      </c>
      <c r="H119" s="4" t="s">
        <v>560</v>
      </c>
      <c r="I119" s="4" t="s">
        <v>561</v>
      </c>
      <c r="J119" s="4" t="s">
        <v>584</v>
      </c>
      <c r="K119" s="4" t="s">
        <v>585</v>
      </c>
      <c r="L119" s="6" t="s">
        <v>159</v>
      </c>
    </row>
    <row r="120" spans="1:12" ht="72" customHeight="1">
      <c r="A120" s="4" t="s">
        <v>586</v>
      </c>
      <c r="B120" s="4" t="s">
        <v>557</v>
      </c>
      <c r="C120" s="4" t="s">
        <v>587</v>
      </c>
      <c r="D120" s="4" t="s">
        <v>42</v>
      </c>
      <c r="E120" s="4" t="s">
        <v>33</v>
      </c>
      <c r="F120" s="4" t="s">
        <v>33</v>
      </c>
      <c r="G120" s="4" t="s">
        <v>559</v>
      </c>
      <c r="H120" s="4" t="s">
        <v>560</v>
      </c>
      <c r="I120" s="4" t="s">
        <v>561</v>
      </c>
      <c r="J120" s="4" t="s">
        <v>588</v>
      </c>
      <c r="K120" s="4" t="s">
        <v>589</v>
      </c>
      <c r="L120" s="6" t="s">
        <v>110</v>
      </c>
    </row>
    <row r="121" spans="1:12" ht="72" customHeight="1">
      <c r="A121" s="4" t="s">
        <v>590</v>
      </c>
      <c r="B121" s="4" t="s">
        <v>591</v>
      </c>
      <c r="C121" s="4" t="s">
        <v>592</v>
      </c>
      <c r="D121" s="4" t="s">
        <v>42</v>
      </c>
      <c r="E121" s="4" t="s">
        <v>33</v>
      </c>
      <c r="F121" s="4" t="s">
        <v>33</v>
      </c>
      <c r="G121" s="4" t="s">
        <v>593</v>
      </c>
      <c r="H121" s="4" t="s">
        <v>594</v>
      </c>
      <c r="I121" s="4" t="s">
        <v>595</v>
      </c>
      <c r="J121" s="4" t="s">
        <v>596</v>
      </c>
      <c r="K121" s="4" t="s">
        <v>597</v>
      </c>
      <c r="L121" s="6" t="s">
        <v>39</v>
      </c>
    </row>
    <row r="122" spans="1:12" ht="72" customHeight="1">
      <c r="A122" s="4" t="s">
        <v>598</v>
      </c>
      <c r="B122" s="4" t="s">
        <v>591</v>
      </c>
      <c r="C122" s="4" t="s">
        <v>599</v>
      </c>
      <c r="D122" s="4" t="s">
        <v>42</v>
      </c>
      <c r="E122" s="4" t="s">
        <v>33</v>
      </c>
      <c r="F122" s="4" t="s">
        <v>33</v>
      </c>
      <c r="G122" s="4" t="s">
        <v>593</v>
      </c>
      <c r="H122" s="4" t="s">
        <v>594</v>
      </c>
      <c r="I122" s="4" t="s">
        <v>595</v>
      </c>
      <c r="J122" s="4" t="s">
        <v>600</v>
      </c>
      <c r="K122" s="4" t="s">
        <v>597</v>
      </c>
      <c r="L122" s="6" t="s">
        <v>311</v>
      </c>
    </row>
    <row r="123" spans="1:12" ht="72" customHeight="1">
      <c r="A123" s="4" t="s">
        <v>601</v>
      </c>
      <c r="B123" s="4" t="s">
        <v>591</v>
      </c>
      <c r="C123" s="4" t="s">
        <v>602</v>
      </c>
      <c r="D123" s="4" t="s">
        <v>42</v>
      </c>
      <c r="E123" s="4" t="s">
        <v>33</v>
      </c>
      <c r="F123" s="4" t="s">
        <v>33</v>
      </c>
      <c r="G123" s="4" t="s">
        <v>593</v>
      </c>
      <c r="H123" s="4" t="s">
        <v>594</v>
      </c>
      <c r="I123" s="4" t="s">
        <v>595</v>
      </c>
      <c r="J123" s="4" t="s">
        <v>603</v>
      </c>
      <c r="K123" s="4" t="s">
        <v>597</v>
      </c>
      <c r="L123" s="6" t="s">
        <v>165</v>
      </c>
    </row>
    <row r="124" spans="1:12" ht="72" customHeight="1">
      <c r="A124" s="4" t="s">
        <v>604</v>
      </c>
      <c r="B124" s="4" t="s">
        <v>605</v>
      </c>
      <c r="C124" s="4" t="s">
        <v>606</v>
      </c>
      <c r="D124" s="4" t="s">
        <v>42</v>
      </c>
      <c r="E124" s="4" t="s">
        <v>33</v>
      </c>
      <c r="F124" s="4" t="s">
        <v>33</v>
      </c>
      <c r="G124" s="4" t="s">
        <v>607</v>
      </c>
      <c r="H124" s="4" t="s">
        <v>608</v>
      </c>
      <c r="I124" s="4" t="s">
        <v>609</v>
      </c>
      <c r="J124" s="4" t="s">
        <v>610</v>
      </c>
      <c r="K124" s="4" t="s">
        <v>611</v>
      </c>
      <c r="L124" s="6" t="s">
        <v>39</v>
      </c>
    </row>
    <row r="125" spans="1:12" ht="72" customHeight="1">
      <c r="A125" s="4" t="s">
        <v>612</v>
      </c>
      <c r="B125" s="4" t="s">
        <v>605</v>
      </c>
      <c r="C125" s="4" t="s">
        <v>613</v>
      </c>
      <c r="D125" s="4" t="s">
        <v>42</v>
      </c>
      <c r="E125" s="4" t="s">
        <v>33</v>
      </c>
      <c r="F125" s="4" t="s">
        <v>33</v>
      </c>
      <c r="G125" s="4" t="s">
        <v>607</v>
      </c>
      <c r="H125" s="4" t="s">
        <v>608</v>
      </c>
      <c r="I125" s="4" t="s">
        <v>609</v>
      </c>
      <c r="J125" s="4" t="s">
        <v>614</v>
      </c>
      <c r="K125" s="4" t="s">
        <v>611</v>
      </c>
      <c r="L125" s="6" t="s">
        <v>95</v>
      </c>
    </row>
    <row r="126" spans="1:12" ht="72" customHeight="1">
      <c r="A126" s="4" t="s">
        <v>615</v>
      </c>
      <c r="B126" s="4" t="s">
        <v>605</v>
      </c>
      <c r="C126" s="4" t="s">
        <v>616</v>
      </c>
      <c r="D126" s="4" t="s">
        <v>42</v>
      </c>
      <c r="E126" s="4" t="s">
        <v>33</v>
      </c>
      <c r="F126" s="4" t="s">
        <v>33</v>
      </c>
      <c r="G126" s="4" t="s">
        <v>607</v>
      </c>
      <c r="H126" s="4" t="s">
        <v>608</v>
      </c>
      <c r="I126" s="4" t="s">
        <v>609</v>
      </c>
      <c r="J126" s="4" t="s">
        <v>617</v>
      </c>
      <c r="K126" s="4" t="s">
        <v>611</v>
      </c>
      <c r="L126" s="6" t="s">
        <v>165</v>
      </c>
    </row>
    <row r="127" spans="1:12" ht="72" customHeight="1">
      <c r="A127" s="4" t="s">
        <v>618</v>
      </c>
      <c r="B127" s="4" t="s">
        <v>605</v>
      </c>
      <c r="C127" s="4" t="s">
        <v>619</v>
      </c>
      <c r="D127" s="4" t="s">
        <v>42</v>
      </c>
      <c r="E127" s="4" t="s">
        <v>33</v>
      </c>
      <c r="F127" s="4" t="s">
        <v>33</v>
      </c>
      <c r="G127" s="4" t="s">
        <v>607</v>
      </c>
      <c r="H127" s="4" t="s">
        <v>608</v>
      </c>
      <c r="I127" s="4" t="s">
        <v>609</v>
      </c>
      <c r="J127" s="4" t="s">
        <v>620</v>
      </c>
      <c r="K127" s="4" t="s">
        <v>611</v>
      </c>
      <c r="L127" s="6" t="s">
        <v>88</v>
      </c>
    </row>
    <row r="128" spans="1:12" ht="72" customHeight="1">
      <c r="A128" s="4" t="s">
        <v>621</v>
      </c>
      <c r="B128" s="4" t="s">
        <v>605</v>
      </c>
      <c r="C128" s="4" t="s">
        <v>622</v>
      </c>
      <c r="D128" s="4" t="s">
        <v>42</v>
      </c>
      <c r="E128" s="4" t="s">
        <v>33</v>
      </c>
      <c r="F128" s="4" t="s">
        <v>33</v>
      </c>
      <c r="G128" s="4" t="s">
        <v>607</v>
      </c>
      <c r="H128" s="4" t="s">
        <v>608</v>
      </c>
      <c r="I128" s="4" t="s">
        <v>609</v>
      </c>
      <c r="J128" s="4" t="s">
        <v>623</v>
      </c>
      <c r="K128" s="4" t="s">
        <v>624</v>
      </c>
      <c r="L128" s="6" t="s">
        <v>625</v>
      </c>
    </row>
    <row r="129" spans="1:12" ht="72" customHeight="1">
      <c r="A129" s="4" t="s">
        <v>626</v>
      </c>
      <c r="B129" s="4" t="s">
        <v>605</v>
      </c>
      <c r="C129" s="4" t="s">
        <v>627</v>
      </c>
      <c r="D129" s="4" t="s">
        <v>42</v>
      </c>
      <c r="E129" s="4" t="s">
        <v>33</v>
      </c>
      <c r="F129" s="4" t="s">
        <v>33</v>
      </c>
      <c r="G129" s="4" t="s">
        <v>607</v>
      </c>
      <c r="H129" s="4" t="s">
        <v>608</v>
      </c>
      <c r="I129" s="4" t="s">
        <v>609</v>
      </c>
      <c r="J129" s="4" t="s">
        <v>628</v>
      </c>
      <c r="K129" s="4" t="s">
        <v>629</v>
      </c>
      <c r="L129" s="6" t="s">
        <v>116</v>
      </c>
    </row>
    <row r="130" spans="1:12" ht="72" customHeight="1">
      <c r="A130" s="4" t="s">
        <v>630</v>
      </c>
      <c r="B130" s="4" t="s">
        <v>631</v>
      </c>
      <c r="C130" s="4" t="s">
        <v>632</v>
      </c>
      <c r="D130" s="4" t="s">
        <v>42</v>
      </c>
      <c r="E130" s="4" t="s">
        <v>33</v>
      </c>
      <c r="F130" s="4" t="s">
        <v>33</v>
      </c>
      <c r="G130" s="4" t="s">
        <v>633</v>
      </c>
      <c r="H130" s="4" t="s">
        <v>634</v>
      </c>
      <c r="I130" s="4" t="s">
        <v>635</v>
      </c>
      <c r="J130" s="4" t="s">
        <v>636</v>
      </c>
      <c r="K130" s="4" t="s">
        <v>637</v>
      </c>
      <c r="L130" s="6" t="s">
        <v>88</v>
      </c>
    </row>
    <row r="131" spans="1:12" ht="72" customHeight="1">
      <c r="A131" s="4" t="s">
        <v>638</v>
      </c>
      <c r="B131" s="4" t="s">
        <v>631</v>
      </c>
      <c r="C131" s="4" t="s">
        <v>639</v>
      </c>
      <c r="D131" s="4" t="s">
        <v>42</v>
      </c>
      <c r="E131" s="4" t="s">
        <v>33</v>
      </c>
      <c r="F131" s="4" t="s">
        <v>33</v>
      </c>
      <c r="G131" s="4" t="s">
        <v>633</v>
      </c>
      <c r="H131" s="4" t="s">
        <v>634</v>
      </c>
      <c r="I131" s="4" t="s">
        <v>635</v>
      </c>
      <c r="J131" s="4" t="s">
        <v>640</v>
      </c>
      <c r="K131" s="4" t="s">
        <v>637</v>
      </c>
      <c r="L131" s="6" t="s">
        <v>165</v>
      </c>
    </row>
    <row r="132" spans="1:12" ht="72" customHeight="1">
      <c r="A132" s="4" t="s">
        <v>641</v>
      </c>
      <c r="B132" s="4" t="s">
        <v>631</v>
      </c>
      <c r="C132" s="4" t="s">
        <v>642</v>
      </c>
      <c r="D132" s="4" t="s">
        <v>42</v>
      </c>
      <c r="E132" s="4" t="s">
        <v>33</v>
      </c>
      <c r="F132" s="4" t="s">
        <v>33</v>
      </c>
      <c r="G132" s="4" t="s">
        <v>633</v>
      </c>
      <c r="H132" s="4" t="s">
        <v>634</v>
      </c>
      <c r="I132" s="4" t="s">
        <v>635</v>
      </c>
      <c r="J132" s="4" t="s">
        <v>643</v>
      </c>
      <c r="K132" s="4" t="s">
        <v>644</v>
      </c>
      <c r="L132" s="6" t="s">
        <v>39</v>
      </c>
    </row>
    <row r="133" spans="1:12" ht="72" customHeight="1">
      <c r="A133" s="4" t="s">
        <v>645</v>
      </c>
      <c r="B133" s="4" t="s">
        <v>646</v>
      </c>
      <c r="C133" s="4" t="s">
        <v>647</v>
      </c>
      <c r="D133" s="4" t="s">
        <v>42</v>
      </c>
      <c r="E133" s="4" t="s">
        <v>33</v>
      </c>
      <c r="F133" s="4" t="s">
        <v>33</v>
      </c>
      <c r="G133" s="4" t="s">
        <v>648</v>
      </c>
      <c r="H133" s="4" t="s">
        <v>649</v>
      </c>
      <c r="I133" s="4" t="s">
        <v>650</v>
      </c>
      <c r="J133" s="4" t="s">
        <v>651</v>
      </c>
      <c r="K133" s="4" t="s">
        <v>652</v>
      </c>
      <c r="L133" s="6" t="s">
        <v>518</v>
      </c>
    </row>
    <row r="134" spans="1:12" ht="72" customHeight="1">
      <c r="A134" s="4" t="s">
        <v>653</v>
      </c>
      <c r="B134" s="4" t="s">
        <v>646</v>
      </c>
      <c r="C134" s="4" t="s">
        <v>654</v>
      </c>
      <c r="D134" s="4" t="s">
        <v>42</v>
      </c>
      <c r="E134" s="4" t="s">
        <v>33</v>
      </c>
      <c r="F134" s="4" t="s">
        <v>33</v>
      </c>
      <c r="G134" s="4" t="s">
        <v>648</v>
      </c>
      <c r="H134" s="4" t="s">
        <v>649</v>
      </c>
      <c r="I134" s="4" t="s">
        <v>650</v>
      </c>
      <c r="J134" s="4" t="s">
        <v>655</v>
      </c>
      <c r="K134" s="4" t="s">
        <v>656</v>
      </c>
      <c r="L134" s="6" t="s">
        <v>116</v>
      </c>
    </row>
    <row r="135" spans="1:12" ht="72" customHeight="1">
      <c r="A135" s="4" t="s">
        <v>657</v>
      </c>
      <c r="B135" s="4" t="s">
        <v>646</v>
      </c>
      <c r="C135" s="4" t="s">
        <v>658</v>
      </c>
      <c r="D135" s="4" t="s">
        <v>42</v>
      </c>
      <c r="E135" s="4" t="s">
        <v>33</v>
      </c>
      <c r="F135" s="4" t="s">
        <v>33</v>
      </c>
      <c r="G135" s="4" t="s">
        <v>648</v>
      </c>
      <c r="H135" s="4" t="s">
        <v>649</v>
      </c>
      <c r="I135" s="4" t="s">
        <v>650</v>
      </c>
      <c r="J135" s="4" t="s">
        <v>659</v>
      </c>
      <c r="K135" s="4" t="s">
        <v>660</v>
      </c>
      <c r="L135" s="6" t="s">
        <v>88</v>
      </c>
    </row>
    <row r="136" spans="1:12" ht="72" customHeight="1">
      <c r="A136" s="4" t="s">
        <v>661</v>
      </c>
      <c r="B136" s="4" t="s">
        <v>662</v>
      </c>
      <c r="C136" s="4" t="s">
        <v>663</v>
      </c>
      <c r="D136" s="4" t="s">
        <v>42</v>
      </c>
      <c r="E136" s="4" t="s">
        <v>33</v>
      </c>
      <c r="F136" s="4" t="s">
        <v>33</v>
      </c>
      <c r="G136" s="4" t="s">
        <v>664</v>
      </c>
      <c r="H136" s="4" t="s">
        <v>665</v>
      </c>
      <c r="I136" s="4" t="s">
        <v>666</v>
      </c>
      <c r="J136" s="4" t="s">
        <v>667</v>
      </c>
      <c r="K136" s="4" t="s">
        <v>668</v>
      </c>
      <c r="L136" s="6" t="s">
        <v>669</v>
      </c>
    </row>
    <row r="137" spans="1:12" ht="72" customHeight="1">
      <c r="A137" s="4" t="s">
        <v>670</v>
      </c>
      <c r="B137" s="4" t="s">
        <v>662</v>
      </c>
      <c r="C137" s="4" t="s">
        <v>671</v>
      </c>
      <c r="D137" s="4" t="s">
        <v>42</v>
      </c>
      <c r="E137" s="4" t="s">
        <v>33</v>
      </c>
      <c r="F137" s="4" t="s">
        <v>33</v>
      </c>
      <c r="G137" s="4" t="s">
        <v>664</v>
      </c>
      <c r="H137" s="4" t="s">
        <v>665</v>
      </c>
      <c r="I137" s="4" t="s">
        <v>666</v>
      </c>
      <c r="J137" s="4" t="s">
        <v>672</v>
      </c>
      <c r="K137" s="4" t="s">
        <v>673</v>
      </c>
      <c r="L137" s="6" t="s">
        <v>88</v>
      </c>
    </row>
    <row r="138" spans="1:12" ht="72" customHeight="1">
      <c r="A138" s="4" t="s">
        <v>674</v>
      </c>
      <c r="B138" s="4" t="s">
        <v>662</v>
      </c>
      <c r="C138" s="4" t="s">
        <v>675</v>
      </c>
      <c r="D138" s="4" t="s">
        <v>42</v>
      </c>
      <c r="E138" s="4" t="s">
        <v>33</v>
      </c>
      <c r="F138" s="4" t="s">
        <v>33</v>
      </c>
      <c r="G138" s="4" t="s">
        <v>664</v>
      </c>
      <c r="H138" s="4" t="s">
        <v>665</v>
      </c>
      <c r="I138" s="4" t="s">
        <v>666</v>
      </c>
      <c r="J138" s="4" t="s">
        <v>676</v>
      </c>
      <c r="K138" s="4" t="s">
        <v>677</v>
      </c>
      <c r="L138" s="6" t="s">
        <v>518</v>
      </c>
    </row>
    <row r="139" spans="1:12" ht="72" customHeight="1">
      <c r="A139" s="4" t="s">
        <v>678</v>
      </c>
      <c r="B139" s="4" t="s">
        <v>662</v>
      </c>
      <c r="C139" s="4" t="s">
        <v>679</v>
      </c>
      <c r="D139" s="4" t="s">
        <v>42</v>
      </c>
      <c r="E139" s="4" t="s">
        <v>33</v>
      </c>
      <c r="F139" s="4" t="s">
        <v>33</v>
      </c>
      <c r="G139" s="4" t="s">
        <v>664</v>
      </c>
      <c r="H139" s="4" t="s">
        <v>665</v>
      </c>
      <c r="I139" s="4" t="s">
        <v>666</v>
      </c>
      <c r="J139" s="4" t="s">
        <v>680</v>
      </c>
      <c r="K139" s="4" t="s">
        <v>673</v>
      </c>
      <c r="L139" s="6" t="s">
        <v>183</v>
      </c>
    </row>
    <row r="140" spans="1:12" ht="72" customHeight="1">
      <c r="A140" s="4" t="s">
        <v>681</v>
      </c>
      <c r="B140" s="4" t="s">
        <v>682</v>
      </c>
      <c r="C140" s="4" t="s">
        <v>683</v>
      </c>
      <c r="D140" s="4" t="s">
        <v>42</v>
      </c>
      <c r="E140" s="4" t="s">
        <v>33</v>
      </c>
      <c r="F140" s="4" t="s">
        <v>33</v>
      </c>
      <c r="G140" s="4" t="s">
        <v>684</v>
      </c>
      <c r="H140" s="4" t="s">
        <v>685</v>
      </c>
      <c r="I140" s="4" t="s">
        <v>686</v>
      </c>
      <c r="J140" s="4" t="s">
        <v>687</v>
      </c>
      <c r="K140" s="4" t="s">
        <v>688</v>
      </c>
      <c r="L140" s="6" t="s">
        <v>625</v>
      </c>
    </row>
    <row r="141" spans="1:12" ht="72" customHeight="1">
      <c r="A141" s="4" t="s">
        <v>689</v>
      </c>
      <c r="B141" s="4" t="s">
        <v>682</v>
      </c>
      <c r="C141" s="4" t="s">
        <v>690</v>
      </c>
      <c r="D141" s="4" t="s">
        <v>42</v>
      </c>
      <c r="E141" s="4" t="s">
        <v>33</v>
      </c>
      <c r="F141" s="4" t="s">
        <v>33</v>
      </c>
      <c r="G141" s="4" t="s">
        <v>684</v>
      </c>
      <c r="H141" s="4" t="s">
        <v>685</v>
      </c>
      <c r="I141" s="4" t="s">
        <v>686</v>
      </c>
      <c r="J141" s="4" t="s">
        <v>691</v>
      </c>
      <c r="K141" s="4" t="s">
        <v>688</v>
      </c>
      <c r="L141" s="6" t="s">
        <v>518</v>
      </c>
    </row>
    <row r="142" spans="1:12" ht="72" customHeight="1">
      <c r="A142" s="4" t="s">
        <v>692</v>
      </c>
      <c r="B142" s="4" t="s">
        <v>682</v>
      </c>
      <c r="C142" s="4" t="s">
        <v>693</v>
      </c>
      <c r="D142" s="4" t="s">
        <v>42</v>
      </c>
      <c r="E142" s="4" t="s">
        <v>33</v>
      </c>
      <c r="F142" s="4" t="s">
        <v>33</v>
      </c>
      <c r="G142" s="4" t="s">
        <v>684</v>
      </c>
      <c r="H142" s="4" t="s">
        <v>685</v>
      </c>
      <c r="I142" s="4" t="s">
        <v>686</v>
      </c>
      <c r="J142" s="4" t="s">
        <v>694</v>
      </c>
      <c r="K142" s="4" t="s">
        <v>688</v>
      </c>
      <c r="L142" s="6" t="s">
        <v>81</v>
      </c>
    </row>
    <row r="143" spans="1:12" ht="72" customHeight="1">
      <c r="A143" s="4" t="s">
        <v>695</v>
      </c>
      <c r="B143" s="4" t="s">
        <v>682</v>
      </c>
      <c r="C143" s="4" t="s">
        <v>696</v>
      </c>
      <c r="D143" s="4" t="s">
        <v>42</v>
      </c>
      <c r="E143" s="4" t="s">
        <v>33</v>
      </c>
      <c r="F143" s="4" t="s">
        <v>33</v>
      </c>
      <c r="G143" s="4" t="s">
        <v>684</v>
      </c>
      <c r="H143" s="4" t="s">
        <v>685</v>
      </c>
      <c r="I143" s="4" t="s">
        <v>686</v>
      </c>
      <c r="J143" s="4" t="s">
        <v>697</v>
      </c>
      <c r="K143" s="4" t="s">
        <v>698</v>
      </c>
      <c r="L143" s="6" t="s">
        <v>110</v>
      </c>
    </row>
    <row r="144" spans="1:12" ht="72" customHeight="1">
      <c r="A144" s="4" t="s">
        <v>699</v>
      </c>
      <c r="B144" s="4" t="s">
        <v>700</v>
      </c>
      <c r="C144" s="4" t="s">
        <v>701</v>
      </c>
      <c r="D144" s="4" t="s">
        <v>42</v>
      </c>
      <c r="E144" s="4" t="s">
        <v>33</v>
      </c>
      <c r="F144" s="4" t="s">
        <v>33</v>
      </c>
      <c r="G144" s="4" t="s">
        <v>702</v>
      </c>
      <c r="H144" s="4" t="s">
        <v>703</v>
      </c>
      <c r="I144" s="4" t="s">
        <v>704</v>
      </c>
      <c r="J144" s="4" t="s">
        <v>705</v>
      </c>
      <c r="K144" s="4" t="s">
        <v>706</v>
      </c>
      <c r="L144" s="6" t="s">
        <v>39</v>
      </c>
    </row>
    <row r="145" spans="1:12" ht="72" customHeight="1">
      <c r="A145" s="4" t="s">
        <v>707</v>
      </c>
      <c r="B145" s="4" t="s">
        <v>700</v>
      </c>
      <c r="C145" s="4" t="s">
        <v>708</v>
      </c>
      <c r="D145" s="4" t="s">
        <v>42</v>
      </c>
      <c r="E145" s="4" t="s">
        <v>33</v>
      </c>
      <c r="F145" s="4" t="s">
        <v>33</v>
      </c>
      <c r="G145" s="4" t="s">
        <v>702</v>
      </c>
      <c r="H145" s="4" t="s">
        <v>703</v>
      </c>
      <c r="I145" s="4" t="s">
        <v>704</v>
      </c>
      <c r="J145" s="4" t="s">
        <v>709</v>
      </c>
      <c r="K145" s="4" t="s">
        <v>706</v>
      </c>
      <c r="L145" s="6" t="s">
        <v>95</v>
      </c>
    </row>
    <row r="146" spans="1:12" ht="72" customHeight="1">
      <c r="A146" s="4" t="s">
        <v>710</v>
      </c>
      <c r="B146" s="4" t="s">
        <v>700</v>
      </c>
      <c r="C146" s="4" t="s">
        <v>711</v>
      </c>
      <c r="D146" s="4" t="s">
        <v>42</v>
      </c>
      <c r="E146" s="4" t="s">
        <v>33</v>
      </c>
      <c r="F146" s="4" t="s">
        <v>33</v>
      </c>
      <c r="G146" s="4" t="s">
        <v>702</v>
      </c>
      <c r="H146" s="4" t="s">
        <v>703</v>
      </c>
      <c r="I146" s="4" t="s">
        <v>704</v>
      </c>
      <c r="J146" s="4" t="s">
        <v>712</v>
      </c>
      <c r="K146" s="4" t="s">
        <v>706</v>
      </c>
      <c r="L146" s="6" t="s">
        <v>165</v>
      </c>
    </row>
    <row r="147" spans="1:12" ht="72" customHeight="1">
      <c r="A147" s="4" t="s">
        <v>713</v>
      </c>
      <c r="B147" s="4" t="s">
        <v>700</v>
      </c>
      <c r="C147" s="4" t="s">
        <v>714</v>
      </c>
      <c r="D147" s="4" t="s">
        <v>42</v>
      </c>
      <c r="E147" s="4" t="s">
        <v>33</v>
      </c>
      <c r="F147" s="4" t="s">
        <v>33</v>
      </c>
      <c r="G147" s="4" t="s">
        <v>702</v>
      </c>
      <c r="H147" s="4" t="s">
        <v>703</v>
      </c>
      <c r="I147" s="4" t="s">
        <v>704</v>
      </c>
      <c r="J147" s="4" t="s">
        <v>715</v>
      </c>
      <c r="K147" s="4" t="s">
        <v>706</v>
      </c>
      <c r="L147" s="6" t="s">
        <v>165</v>
      </c>
    </row>
    <row r="148" spans="1:12" ht="72" customHeight="1">
      <c r="A148" s="4" t="s">
        <v>716</v>
      </c>
      <c r="B148" s="4" t="s">
        <v>700</v>
      </c>
      <c r="C148" s="4" t="s">
        <v>717</v>
      </c>
      <c r="D148" s="4" t="s">
        <v>42</v>
      </c>
      <c r="E148" s="4" t="s">
        <v>33</v>
      </c>
      <c r="F148" s="4" t="s">
        <v>33</v>
      </c>
      <c r="G148" s="4" t="s">
        <v>702</v>
      </c>
      <c r="H148" s="4" t="s">
        <v>703</v>
      </c>
      <c r="I148" s="4" t="s">
        <v>704</v>
      </c>
      <c r="J148" s="4" t="s">
        <v>718</v>
      </c>
      <c r="K148" s="4" t="s">
        <v>719</v>
      </c>
      <c r="L148" s="6" t="s">
        <v>159</v>
      </c>
    </row>
    <row r="149" spans="1:12" ht="72" customHeight="1">
      <c r="A149" s="4" t="s">
        <v>720</v>
      </c>
      <c r="B149" s="4" t="s">
        <v>721</v>
      </c>
      <c r="C149" s="4" t="s">
        <v>722</v>
      </c>
      <c r="D149" s="4" t="s">
        <v>42</v>
      </c>
      <c r="E149" s="4" t="s">
        <v>33</v>
      </c>
      <c r="F149" s="4" t="s">
        <v>33</v>
      </c>
      <c r="G149" s="4" t="s">
        <v>723</v>
      </c>
      <c r="H149" s="4" t="s">
        <v>724</v>
      </c>
      <c r="I149" s="4" t="s">
        <v>725</v>
      </c>
      <c r="J149" s="4" t="s">
        <v>726</v>
      </c>
      <c r="K149" s="4" t="s">
        <v>727</v>
      </c>
      <c r="L149" s="6" t="s">
        <v>147</v>
      </c>
    </row>
    <row r="150" spans="1:12" ht="72" customHeight="1">
      <c r="A150" s="4" t="s">
        <v>728</v>
      </c>
      <c r="B150" s="4" t="s">
        <v>721</v>
      </c>
      <c r="C150" s="4" t="s">
        <v>729</v>
      </c>
      <c r="D150" s="4" t="s">
        <v>42</v>
      </c>
      <c r="E150" s="4" t="s">
        <v>33</v>
      </c>
      <c r="F150" s="4" t="s">
        <v>33</v>
      </c>
      <c r="G150" s="4" t="s">
        <v>723</v>
      </c>
      <c r="H150" s="4" t="s">
        <v>724</v>
      </c>
      <c r="I150" s="4" t="s">
        <v>725</v>
      </c>
      <c r="J150" s="4" t="s">
        <v>730</v>
      </c>
      <c r="K150" s="4" t="s">
        <v>731</v>
      </c>
      <c r="L150" s="6" t="s">
        <v>95</v>
      </c>
    </row>
    <row r="151" spans="1:12" ht="72" customHeight="1">
      <c r="A151" s="4" t="s">
        <v>732</v>
      </c>
      <c r="B151" s="4" t="s">
        <v>721</v>
      </c>
      <c r="C151" s="4" t="s">
        <v>733</v>
      </c>
      <c r="D151" s="4" t="s">
        <v>42</v>
      </c>
      <c r="E151" s="4" t="s">
        <v>33</v>
      </c>
      <c r="F151" s="4" t="s">
        <v>33</v>
      </c>
      <c r="G151" s="4" t="s">
        <v>723</v>
      </c>
      <c r="H151" s="4" t="s">
        <v>724</v>
      </c>
      <c r="I151" s="4" t="s">
        <v>725</v>
      </c>
      <c r="J151" s="4" t="s">
        <v>734</v>
      </c>
      <c r="K151" s="4" t="s">
        <v>735</v>
      </c>
      <c r="L151" s="6" t="s">
        <v>88</v>
      </c>
    </row>
    <row r="152" spans="1:12" ht="72" customHeight="1">
      <c r="A152" s="4" t="s">
        <v>736</v>
      </c>
      <c r="B152" s="4" t="s">
        <v>721</v>
      </c>
      <c r="C152" s="4" t="s">
        <v>737</v>
      </c>
      <c r="D152" s="4" t="s">
        <v>42</v>
      </c>
      <c r="E152" s="4" t="s">
        <v>33</v>
      </c>
      <c r="F152" s="4" t="s">
        <v>33</v>
      </c>
      <c r="G152" s="4" t="s">
        <v>723</v>
      </c>
      <c r="H152" s="4" t="s">
        <v>724</v>
      </c>
      <c r="I152" s="4" t="s">
        <v>725</v>
      </c>
      <c r="J152" s="4" t="s">
        <v>738</v>
      </c>
      <c r="K152" s="4" t="s">
        <v>739</v>
      </c>
      <c r="L152" s="6" t="s">
        <v>81</v>
      </c>
    </row>
    <row r="153" spans="1:12" ht="72" customHeight="1">
      <c r="A153" s="4" t="s">
        <v>740</v>
      </c>
      <c r="B153" s="4" t="s">
        <v>721</v>
      </c>
      <c r="C153" s="4" t="s">
        <v>741</v>
      </c>
      <c r="D153" s="4" t="s">
        <v>42</v>
      </c>
      <c r="E153" s="4" t="s">
        <v>33</v>
      </c>
      <c r="F153" s="4" t="s">
        <v>33</v>
      </c>
      <c r="G153" s="4" t="s">
        <v>723</v>
      </c>
      <c r="H153" s="4" t="s">
        <v>724</v>
      </c>
      <c r="I153" s="4" t="s">
        <v>725</v>
      </c>
      <c r="J153" s="4" t="s">
        <v>742</v>
      </c>
      <c r="K153" s="4" t="s">
        <v>743</v>
      </c>
      <c r="L153" s="6" t="s">
        <v>103</v>
      </c>
    </row>
    <row r="154" spans="1:12" ht="72" customHeight="1">
      <c r="A154" s="4" t="s">
        <v>744</v>
      </c>
      <c r="B154" s="4" t="s">
        <v>745</v>
      </c>
      <c r="C154" s="4" t="s">
        <v>746</v>
      </c>
      <c r="D154" s="4" t="s">
        <v>42</v>
      </c>
      <c r="E154" s="4" t="s">
        <v>33</v>
      </c>
      <c r="F154" s="4" t="s">
        <v>33</v>
      </c>
      <c r="G154" s="4" t="s">
        <v>747</v>
      </c>
      <c r="H154" s="4" t="s">
        <v>748</v>
      </c>
      <c r="I154" s="4" t="s">
        <v>749</v>
      </c>
      <c r="J154" s="4" t="s">
        <v>750</v>
      </c>
      <c r="K154" s="4" t="s">
        <v>751</v>
      </c>
      <c r="L154" s="6" t="s">
        <v>147</v>
      </c>
    </row>
    <row r="155" spans="1:12" ht="72" customHeight="1">
      <c r="A155" s="4" t="s">
        <v>752</v>
      </c>
      <c r="B155" s="4" t="s">
        <v>745</v>
      </c>
      <c r="C155" s="4" t="s">
        <v>753</v>
      </c>
      <c r="D155" s="4" t="s">
        <v>42</v>
      </c>
      <c r="E155" s="4" t="s">
        <v>33</v>
      </c>
      <c r="F155" s="4" t="s">
        <v>33</v>
      </c>
      <c r="G155" s="4" t="s">
        <v>747</v>
      </c>
      <c r="H155" s="4" t="s">
        <v>748</v>
      </c>
      <c r="I155" s="4" t="s">
        <v>749</v>
      </c>
      <c r="J155" s="4" t="s">
        <v>754</v>
      </c>
      <c r="K155" s="4" t="s">
        <v>755</v>
      </c>
      <c r="L155" s="6" t="s">
        <v>159</v>
      </c>
    </row>
    <row r="156" spans="1:12" ht="72" customHeight="1">
      <c r="A156" s="4" t="s">
        <v>756</v>
      </c>
      <c r="B156" s="4" t="s">
        <v>745</v>
      </c>
      <c r="C156" s="4" t="s">
        <v>757</v>
      </c>
      <c r="D156" s="4" t="s">
        <v>42</v>
      </c>
      <c r="E156" s="4" t="s">
        <v>33</v>
      </c>
      <c r="F156" s="4" t="s">
        <v>33</v>
      </c>
      <c r="G156" s="4" t="s">
        <v>747</v>
      </c>
      <c r="H156" s="4" t="s">
        <v>748</v>
      </c>
      <c r="I156" s="4" t="s">
        <v>749</v>
      </c>
      <c r="J156" s="4" t="s">
        <v>758</v>
      </c>
      <c r="K156" s="4" t="s">
        <v>759</v>
      </c>
      <c r="L156" s="6" t="s">
        <v>88</v>
      </c>
    </row>
    <row r="157" spans="1:12" ht="72" customHeight="1">
      <c r="A157" s="4" t="s">
        <v>760</v>
      </c>
      <c r="B157" s="4" t="s">
        <v>745</v>
      </c>
      <c r="C157" s="4" t="s">
        <v>761</v>
      </c>
      <c r="D157" s="4" t="s">
        <v>42</v>
      </c>
      <c r="E157" s="4" t="s">
        <v>33</v>
      </c>
      <c r="F157" s="4" t="s">
        <v>33</v>
      </c>
      <c r="G157" s="4" t="s">
        <v>747</v>
      </c>
      <c r="H157" s="4" t="s">
        <v>748</v>
      </c>
      <c r="I157" s="4" t="s">
        <v>749</v>
      </c>
      <c r="J157" s="4" t="s">
        <v>762</v>
      </c>
      <c r="K157" s="4" t="s">
        <v>755</v>
      </c>
      <c r="L157" s="6" t="s">
        <v>165</v>
      </c>
    </row>
    <row r="158" spans="1:12" ht="72" customHeight="1">
      <c r="A158" s="4" t="s">
        <v>763</v>
      </c>
      <c r="B158" s="4" t="s">
        <v>764</v>
      </c>
      <c r="C158" s="4" t="s">
        <v>765</v>
      </c>
      <c r="D158" s="4" t="s">
        <v>42</v>
      </c>
      <c r="E158" s="4" t="s">
        <v>33</v>
      </c>
      <c r="F158" s="4" t="s">
        <v>33</v>
      </c>
      <c r="G158" s="4" t="s">
        <v>766</v>
      </c>
      <c r="H158" s="4" t="s">
        <v>767</v>
      </c>
      <c r="I158" s="4" t="s">
        <v>768</v>
      </c>
      <c r="J158" s="4" t="s">
        <v>769</v>
      </c>
      <c r="K158" s="4" t="s">
        <v>770</v>
      </c>
      <c r="L158" s="6" t="s">
        <v>147</v>
      </c>
    </row>
    <row r="159" spans="1:12" ht="72" customHeight="1">
      <c r="A159" s="4" t="s">
        <v>771</v>
      </c>
      <c r="B159" s="4" t="s">
        <v>764</v>
      </c>
      <c r="C159" s="4" t="s">
        <v>772</v>
      </c>
      <c r="D159" s="4" t="s">
        <v>42</v>
      </c>
      <c r="E159" s="4" t="s">
        <v>33</v>
      </c>
      <c r="F159" s="4" t="s">
        <v>33</v>
      </c>
      <c r="G159" s="4" t="s">
        <v>766</v>
      </c>
      <c r="H159" s="4" t="s">
        <v>767</v>
      </c>
      <c r="I159" s="4" t="s">
        <v>768</v>
      </c>
      <c r="J159" s="4" t="s">
        <v>773</v>
      </c>
      <c r="K159" s="4" t="s">
        <v>770</v>
      </c>
      <c r="L159" s="6" t="s">
        <v>88</v>
      </c>
    </row>
    <row r="160" spans="1:12" ht="72" customHeight="1">
      <c r="A160" s="4" t="s">
        <v>774</v>
      </c>
      <c r="B160" s="4" t="s">
        <v>764</v>
      </c>
      <c r="C160" s="4" t="s">
        <v>775</v>
      </c>
      <c r="D160" s="4" t="s">
        <v>42</v>
      </c>
      <c r="E160" s="4" t="s">
        <v>33</v>
      </c>
      <c r="F160" s="4" t="s">
        <v>33</v>
      </c>
      <c r="G160" s="4" t="s">
        <v>766</v>
      </c>
      <c r="H160" s="4" t="s">
        <v>767</v>
      </c>
      <c r="I160" s="4" t="s">
        <v>768</v>
      </c>
      <c r="J160" s="4" t="s">
        <v>776</v>
      </c>
      <c r="K160" s="4" t="s">
        <v>770</v>
      </c>
      <c r="L160" s="6" t="s">
        <v>95</v>
      </c>
    </row>
    <row r="161" spans="1:12" ht="72" customHeight="1">
      <c r="A161" s="4" t="s">
        <v>777</v>
      </c>
      <c r="B161" s="4" t="s">
        <v>764</v>
      </c>
      <c r="C161" s="4" t="s">
        <v>778</v>
      </c>
      <c r="D161" s="4" t="s">
        <v>42</v>
      </c>
      <c r="E161" s="4" t="s">
        <v>33</v>
      </c>
      <c r="F161" s="4" t="s">
        <v>33</v>
      </c>
      <c r="G161" s="4" t="s">
        <v>766</v>
      </c>
      <c r="H161" s="4" t="s">
        <v>767</v>
      </c>
      <c r="I161" s="4" t="s">
        <v>768</v>
      </c>
      <c r="J161" s="4" t="s">
        <v>779</v>
      </c>
      <c r="K161" s="4" t="s">
        <v>770</v>
      </c>
      <c r="L161" s="6" t="s">
        <v>116</v>
      </c>
    </row>
    <row r="162" spans="1:12" ht="72" customHeight="1">
      <c r="A162" s="4" t="s">
        <v>780</v>
      </c>
      <c r="B162" s="4" t="s">
        <v>781</v>
      </c>
      <c r="C162" s="4" t="s">
        <v>782</v>
      </c>
      <c r="D162" s="4" t="s">
        <v>42</v>
      </c>
      <c r="E162" s="4" t="s">
        <v>33</v>
      </c>
      <c r="F162" s="4" t="s">
        <v>33</v>
      </c>
      <c r="G162" s="4" t="s">
        <v>783</v>
      </c>
      <c r="H162" s="4" t="s">
        <v>784</v>
      </c>
      <c r="I162" s="4" t="s">
        <v>785</v>
      </c>
      <c r="J162" s="4" t="s">
        <v>786</v>
      </c>
      <c r="K162" s="4" t="s">
        <v>787</v>
      </c>
      <c r="L162" s="6" t="s">
        <v>88</v>
      </c>
    </row>
    <row r="163" spans="1:12" ht="72" customHeight="1">
      <c r="A163" s="4" t="s">
        <v>788</v>
      </c>
      <c r="B163" s="4" t="s">
        <v>781</v>
      </c>
      <c r="C163" s="4" t="s">
        <v>789</v>
      </c>
      <c r="D163" s="4" t="s">
        <v>42</v>
      </c>
      <c r="E163" s="4" t="s">
        <v>33</v>
      </c>
      <c r="F163" s="4" t="s">
        <v>33</v>
      </c>
      <c r="G163" s="4" t="s">
        <v>783</v>
      </c>
      <c r="H163" s="4" t="s">
        <v>784</v>
      </c>
      <c r="I163" s="4" t="s">
        <v>785</v>
      </c>
      <c r="J163" s="4" t="s">
        <v>790</v>
      </c>
      <c r="K163" s="4" t="s">
        <v>787</v>
      </c>
      <c r="L163" s="6" t="s">
        <v>518</v>
      </c>
    </row>
    <row r="164" spans="1:12" ht="72" customHeight="1">
      <c r="A164" s="4" t="s">
        <v>791</v>
      </c>
      <c r="B164" s="4" t="s">
        <v>781</v>
      </c>
      <c r="C164" s="4" t="s">
        <v>792</v>
      </c>
      <c r="D164" s="4" t="s">
        <v>42</v>
      </c>
      <c r="E164" s="4" t="s">
        <v>33</v>
      </c>
      <c r="F164" s="4" t="s">
        <v>33</v>
      </c>
      <c r="G164" s="4" t="s">
        <v>783</v>
      </c>
      <c r="H164" s="4" t="s">
        <v>784</v>
      </c>
      <c r="I164" s="4" t="s">
        <v>785</v>
      </c>
      <c r="J164" s="4" t="s">
        <v>793</v>
      </c>
      <c r="K164" s="4" t="s">
        <v>787</v>
      </c>
      <c r="L164" s="6" t="s">
        <v>153</v>
      </c>
    </row>
    <row r="165" spans="1:12" ht="72" customHeight="1">
      <c r="A165" s="4" t="s">
        <v>794</v>
      </c>
      <c r="B165" s="4" t="s">
        <v>781</v>
      </c>
      <c r="C165" s="4" t="s">
        <v>795</v>
      </c>
      <c r="D165" s="4" t="s">
        <v>42</v>
      </c>
      <c r="E165" s="4" t="s">
        <v>33</v>
      </c>
      <c r="F165" s="4" t="s">
        <v>33</v>
      </c>
      <c r="G165" s="4" t="s">
        <v>783</v>
      </c>
      <c r="H165" s="4" t="s">
        <v>784</v>
      </c>
      <c r="I165" s="4" t="s">
        <v>785</v>
      </c>
      <c r="J165" s="4" t="s">
        <v>796</v>
      </c>
      <c r="K165" s="4" t="s">
        <v>787</v>
      </c>
      <c r="L165" s="6" t="s">
        <v>518</v>
      </c>
    </row>
    <row r="166" spans="1:12" ht="72" customHeight="1">
      <c r="A166" s="4" t="s">
        <v>797</v>
      </c>
      <c r="B166" s="4" t="s">
        <v>798</v>
      </c>
      <c r="C166" s="4" t="s">
        <v>799</v>
      </c>
      <c r="D166" s="4" t="s">
        <v>42</v>
      </c>
      <c r="E166" s="4" t="s">
        <v>33</v>
      </c>
      <c r="F166" s="4" t="s">
        <v>33</v>
      </c>
      <c r="G166" s="4" t="s">
        <v>800</v>
      </c>
      <c r="H166" s="4" t="s">
        <v>801</v>
      </c>
      <c r="I166" s="4" t="s">
        <v>802</v>
      </c>
      <c r="J166" s="4" t="s">
        <v>803</v>
      </c>
      <c r="K166" s="4" t="s">
        <v>804</v>
      </c>
      <c r="L166" s="6" t="s">
        <v>141</v>
      </c>
    </row>
    <row r="167" spans="1:12" ht="72" customHeight="1">
      <c r="A167" s="4" t="s">
        <v>805</v>
      </c>
      <c r="B167" s="4" t="s">
        <v>798</v>
      </c>
      <c r="C167" s="4" t="s">
        <v>806</v>
      </c>
      <c r="D167" s="4" t="s">
        <v>42</v>
      </c>
      <c r="E167" s="4" t="s">
        <v>33</v>
      </c>
      <c r="F167" s="4" t="s">
        <v>33</v>
      </c>
      <c r="G167" s="4" t="s">
        <v>800</v>
      </c>
      <c r="H167" s="4" t="s">
        <v>801</v>
      </c>
      <c r="I167" s="4" t="s">
        <v>802</v>
      </c>
      <c r="J167" s="4" t="s">
        <v>807</v>
      </c>
      <c r="K167" s="4" t="s">
        <v>808</v>
      </c>
      <c r="L167" s="6" t="s">
        <v>147</v>
      </c>
    </row>
    <row r="168" spans="1:12" ht="72" customHeight="1">
      <c r="A168" s="4" t="s">
        <v>809</v>
      </c>
      <c r="B168" s="4" t="s">
        <v>798</v>
      </c>
      <c r="C168" s="4" t="s">
        <v>810</v>
      </c>
      <c r="D168" s="4" t="s">
        <v>42</v>
      </c>
      <c r="E168" s="4" t="s">
        <v>33</v>
      </c>
      <c r="F168" s="4" t="s">
        <v>33</v>
      </c>
      <c r="G168" s="4" t="s">
        <v>800</v>
      </c>
      <c r="H168" s="4" t="s">
        <v>801</v>
      </c>
      <c r="I168" s="4" t="s">
        <v>802</v>
      </c>
      <c r="J168" s="4" t="s">
        <v>811</v>
      </c>
      <c r="K168" s="4" t="s">
        <v>808</v>
      </c>
      <c r="L168" s="6" t="s">
        <v>153</v>
      </c>
    </row>
    <row r="169" spans="1:12" ht="72" customHeight="1">
      <c r="A169" s="4" t="s">
        <v>812</v>
      </c>
      <c r="B169" s="4" t="s">
        <v>798</v>
      </c>
      <c r="C169" s="4" t="s">
        <v>813</v>
      </c>
      <c r="D169" s="4" t="s">
        <v>42</v>
      </c>
      <c r="E169" s="4" t="s">
        <v>33</v>
      </c>
      <c r="F169" s="4" t="s">
        <v>33</v>
      </c>
      <c r="G169" s="4" t="s">
        <v>800</v>
      </c>
      <c r="H169" s="4" t="s">
        <v>801</v>
      </c>
      <c r="I169" s="4" t="s">
        <v>802</v>
      </c>
      <c r="J169" s="4" t="s">
        <v>814</v>
      </c>
      <c r="K169" s="4" t="s">
        <v>815</v>
      </c>
      <c r="L169" s="6" t="s">
        <v>88</v>
      </c>
    </row>
    <row r="170" spans="1:12" ht="72" customHeight="1">
      <c r="A170" s="4" t="s">
        <v>816</v>
      </c>
      <c r="B170" s="4" t="s">
        <v>798</v>
      </c>
      <c r="C170" s="4" t="s">
        <v>817</v>
      </c>
      <c r="D170" s="4" t="s">
        <v>42</v>
      </c>
      <c r="E170" s="4" t="s">
        <v>33</v>
      </c>
      <c r="F170" s="4" t="s">
        <v>33</v>
      </c>
      <c r="G170" s="4" t="s">
        <v>800</v>
      </c>
      <c r="H170" s="4" t="s">
        <v>801</v>
      </c>
      <c r="I170" s="4" t="s">
        <v>802</v>
      </c>
      <c r="J170" s="4" t="s">
        <v>818</v>
      </c>
      <c r="K170" s="4" t="s">
        <v>819</v>
      </c>
      <c r="L170" s="6" t="s">
        <v>88</v>
      </c>
    </row>
    <row r="171" spans="1:12" ht="72" customHeight="1">
      <c r="A171" s="4" t="s">
        <v>820</v>
      </c>
      <c r="B171" s="4" t="s">
        <v>798</v>
      </c>
      <c r="C171" s="4" t="s">
        <v>821</v>
      </c>
      <c r="D171" s="4" t="s">
        <v>42</v>
      </c>
      <c r="E171" s="4" t="s">
        <v>33</v>
      </c>
      <c r="F171" s="4" t="s">
        <v>33</v>
      </c>
      <c r="G171" s="4" t="s">
        <v>800</v>
      </c>
      <c r="H171" s="4" t="s">
        <v>801</v>
      </c>
      <c r="I171" s="4" t="s">
        <v>802</v>
      </c>
      <c r="J171" s="4" t="s">
        <v>822</v>
      </c>
      <c r="K171" s="4" t="s">
        <v>823</v>
      </c>
      <c r="L171" s="6" t="s">
        <v>103</v>
      </c>
    </row>
    <row r="172" spans="1:12" ht="72" customHeight="1">
      <c r="A172" s="4" t="s">
        <v>824</v>
      </c>
      <c r="B172" s="4" t="s">
        <v>825</v>
      </c>
      <c r="C172" s="4" t="s">
        <v>826</v>
      </c>
      <c r="D172" s="4" t="s">
        <v>42</v>
      </c>
      <c r="E172" s="4" t="s">
        <v>33</v>
      </c>
      <c r="F172" s="4" t="s">
        <v>33</v>
      </c>
      <c r="G172" s="4" t="s">
        <v>827</v>
      </c>
      <c r="H172" s="4" t="s">
        <v>828</v>
      </c>
      <c r="I172" s="4" t="s">
        <v>829</v>
      </c>
      <c r="J172" s="4" t="s">
        <v>830</v>
      </c>
      <c r="K172" s="4" t="s">
        <v>831</v>
      </c>
      <c r="L172" s="6" t="s">
        <v>147</v>
      </c>
    </row>
    <row r="173" spans="1:12" ht="72" customHeight="1">
      <c r="A173" s="4" t="s">
        <v>832</v>
      </c>
      <c r="B173" s="4" t="s">
        <v>825</v>
      </c>
      <c r="C173" s="4" t="s">
        <v>833</v>
      </c>
      <c r="D173" s="4" t="s">
        <v>42</v>
      </c>
      <c r="E173" s="4" t="s">
        <v>33</v>
      </c>
      <c r="F173" s="4" t="s">
        <v>33</v>
      </c>
      <c r="G173" s="4" t="s">
        <v>827</v>
      </c>
      <c r="H173" s="4" t="s">
        <v>828</v>
      </c>
      <c r="I173" s="4" t="s">
        <v>829</v>
      </c>
      <c r="J173" s="4" t="s">
        <v>834</v>
      </c>
      <c r="K173" s="4" t="s">
        <v>831</v>
      </c>
      <c r="L173" s="6" t="s">
        <v>159</v>
      </c>
    </row>
    <row r="174" spans="1:12" ht="72" customHeight="1">
      <c r="A174" s="4" t="s">
        <v>835</v>
      </c>
      <c r="B174" s="4" t="s">
        <v>825</v>
      </c>
      <c r="C174" s="4" t="s">
        <v>836</v>
      </c>
      <c r="D174" s="4" t="s">
        <v>42</v>
      </c>
      <c r="E174" s="4" t="s">
        <v>33</v>
      </c>
      <c r="F174" s="4" t="s">
        <v>33</v>
      </c>
      <c r="G174" s="4" t="s">
        <v>827</v>
      </c>
      <c r="H174" s="4" t="s">
        <v>828</v>
      </c>
      <c r="I174" s="4" t="s">
        <v>829</v>
      </c>
      <c r="J174" s="4" t="s">
        <v>837</v>
      </c>
      <c r="K174" s="4" t="s">
        <v>831</v>
      </c>
      <c r="L174" s="6" t="s">
        <v>153</v>
      </c>
    </row>
    <row r="175" spans="1:12" ht="72" customHeight="1">
      <c r="A175" s="4" t="s">
        <v>838</v>
      </c>
      <c r="B175" s="4" t="s">
        <v>825</v>
      </c>
      <c r="C175" s="4" t="s">
        <v>839</v>
      </c>
      <c r="D175" s="4" t="s">
        <v>42</v>
      </c>
      <c r="E175" s="4" t="s">
        <v>33</v>
      </c>
      <c r="F175" s="4" t="s">
        <v>33</v>
      </c>
      <c r="G175" s="4" t="s">
        <v>827</v>
      </c>
      <c r="H175" s="4" t="s">
        <v>828</v>
      </c>
      <c r="I175" s="4" t="s">
        <v>829</v>
      </c>
      <c r="J175" s="4" t="s">
        <v>840</v>
      </c>
      <c r="K175" s="4" t="s">
        <v>831</v>
      </c>
      <c r="L175" s="6" t="s">
        <v>153</v>
      </c>
    </row>
    <row r="176" spans="1:12" ht="72" customHeight="1">
      <c r="A176" s="4" t="s">
        <v>841</v>
      </c>
      <c r="B176" s="4" t="s">
        <v>825</v>
      </c>
      <c r="C176" s="4" t="s">
        <v>842</v>
      </c>
      <c r="D176" s="4" t="s">
        <v>42</v>
      </c>
      <c r="E176" s="4" t="s">
        <v>33</v>
      </c>
      <c r="F176" s="4" t="s">
        <v>33</v>
      </c>
      <c r="G176" s="4" t="s">
        <v>827</v>
      </c>
      <c r="H176" s="4" t="s">
        <v>828</v>
      </c>
      <c r="I176" s="4" t="s">
        <v>829</v>
      </c>
      <c r="J176" s="4" t="s">
        <v>843</v>
      </c>
      <c r="K176" s="4" t="s">
        <v>831</v>
      </c>
      <c r="L176" s="6" t="s">
        <v>165</v>
      </c>
    </row>
    <row r="177" spans="1:12" ht="72" customHeight="1">
      <c r="A177" s="4" t="s">
        <v>844</v>
      </c>
      <c r="B177" s="4" t="s">
        <v>825</v>
      </c>
      <c r="C177" s="4" t="s">
        <v>845</v>
      </c>
      <c r="D177" s="4" t="s">
        <v>42</v>
      </c>
      <c r="E177" s="4" t="s">
        <v>33</v>
      </c>
      <c r="F177" s="4" t="s">
        <v>33</v>
      </c>
      <c r="G177" s="4" t="s">
        <v>827</v>
      </c>
      <c r="H177" s="4" t="s">
        <v>828</v>
      </c>
      <c r="I177" s="4" t="s">
        <v>829</v>
      </c>
      <c r="J177" s="4" t="s">
        <v>846</v>
      </c>
      <c r="K177" s="4" t="s">
        <v>831</v>
      </c>
      <c r="L177" s="6" t="s">
        <v>153</v>
      </c>
    </row>
    <row r="178" spans="1:12" ht="72" customHeight="1">
      <c r="A178" s="4" t="s">
        <v>847</v>
      </c>
      <c r="B178" s="4" t="s">
        <v>825</v>
      </c>
      <c r="C178" s="4" t="s">
        <v>848</v>
      </c>
      <c r="D178" s="4" t="s">
        <v>42</v>
      </c>
      <c r="E178" s="4" t="s">
        <v>33</v>
      </c>
      <c r="F178" s="4" t="s">
        <v>33</v>
      </c>
      <c r="G178" s="4" t="s">
        <v>827</v>
      </c>
      <c r="H178" s="4" t="s">
        <v>828</v>
      </c>
      <c r="I178" s="4" t="s">
        <v>829</v>
      </c>
      <c r="J178" s="4" t="s">
        <v>849</v>
      </c>
      <c r="K178" s="4" t="s">
        <v>831</v>
      </c>
      <c r="L178" s="6" t="s">
        <v>88</v>
      </c>
    </row>
    <row r="179" spans="1:12" ht="72" customHeight="1">
      <c r="A179" s="4" t="s">
        <v>850</v>
      </c>
      <c r="B179" s="4" t="s">
        <v>851</v>
      </c>
      <c r="C179" s="4" t="s">
        <v>852</v>
      </c>
      <c r="D179" s="4" t="s">
        <v>42</v>
      </c>
      <c r="E179" s="4" t="s">
        <v>33</v>
      </c>
      <c r="F179" s="4" t="s">
        <v>33</v>
      </c>
      <c r="G179" s="4" t="s">
        <v>853</v>
      </c>
      <c r="H179" s="4" t="s">
        <v>854</v>
      </c>
      <c r="I179" s="4" t="s">
        <v>855</v>
      </c>
      <c r="J179" s="4" t="s">
        <v>856</v>
      </c>
      <c r="K179" s="4" t="s">
        <v>857</v>
      </c>
      <c r="L179" s="6" t="s">
        <v>159</v>
      </c>
    </row>
    <row r="180" spans="1:12" ht="72" customHeight="1">
      <c r="A180" s="4" t="s">
        <v>858</v>
      </c>
      <c r="B180" s="4" t="s">
        <v>851</v>
      </c>
      <c r="C180" s="4" t="s">
        <v>859</v>
      </c>
      <c r="D180" s="4" t="s">
        <v>42</v>
      </c>
      <c r="E180" s="4" t="s">
        <v>33</v>
      </c>
      <c r="F180" s="4" t="s">
        <v>33</v>
      </c>
      <c r="G180" s="4" t="s">
        <v>853</v>
      </c>
      <c r="H180" s="4" t="s">
        <v>854</v>
      </c>
      <c r="I180" s="4" t="s">
        <v>855</v>
      </c>
      <c r="J180" s="4" t="s">
        <v>860</v>
      </c>
      <c r="K180" s="4" t="s">
        <v>861</v>
      </c>
      <c r="L180" s="6" t="s">
        <v>88</v>
      </c>
    </row>
    <row r="181" spans="1:12" ht="72" customHeight="1">
      <c r="A181" s="4" t="s">
        <v>862</v>
      </c>
      <c r="B181" s="4" t="s">
        <v>851</v>
      </c>
      <c r="C181" s="4" t="s">
        <v>863</v>
      </c>
      <c r="D181" s="4" t="s">
        <v>42</v>
      </c>
      <c r="E181" s="4" t="s">
        <v>33</v>
      </c>
      <c r="F181" s="4" t="s">
        <v>33</v>
      </c>
      <c r="G181" s="4" t="s">
        <v>853</v>
      </c>
      <c r="H181" s="4" t="s">
        <v>854</v>
      </c>
      <c r="I181" s="4" t="s">
        <v>855</v>
      </c>
      <c r="J181" s="4" t="s">
        <v>864</v>
      </c>
      <c r="K181" s="4" t="s">
        <v>865</v>
      </c>
      <c r="L181" s="6" t="s">
        <v>88</v>
      </c>
    </row>
    <row r="182" spans="1:12" ht="72" customHeight="1">
      <c r="A182" s="4" t="s">
        <v>866</v>
      </c>
      <c r="B182" s="4" t="s">
        <v>851</v>
      </c>
      <c r="C182" s="4" t="s">
        <v>867</v>
      </c>
      <c r="D182" s="4" t="s">
        <v>42</v>
      </c>
      <c r="E182" s="4" t="s">
        <v>33</v>
      </c>
      <c r="F182" s="4" t="s">
        <v>33</v>
      </c>
      <c r="G182" s="4" t="s">
        <v>853</v>
      </c>
      <c r="H182" s="4" t="s">
        <v>854</v>
      </c>
      <c r="I182" s="4" t="s">
        <v>855</v>
      </c>
      <c r="J182" s="4" t="s">
        <v>868</v>
      </c>
      <c r="K182" s="4" t="s">
        <v>865</v>
      </c>
      <c r="L182" s="6" t="s">
        <v>88</v>
      </c>
    </row>
    <row r="183" spans="1:12" ht="72" customHeight="1">
      <c r="A183" s="4" t="s">
        <v>869</v>
      </c>
      <c r="B183" s="4" t="s">
        <v>851</v>
      </c>
      <c r="C183" s="4" t="s">
        <v>870</v>
      </c>
      <c r="D183" s="4" t="s">
        <v>42</v>
      </c>
      <c r="E183" s="4" t="s">
        <v>33</v>
      </c>
      <c r="F183" s="4" t="s">
        <v>33</v>
      </c>
      <c r="G183" s="4" t="s">
        <v>853</v>
      </c>
      <c r="H183" s="4" t="s">
        <v>854</v>
      </c>
      <c r="I183" s="4" t="s">
        <v>855</v>
      </c>
      <c r="J183" s="4" t="s">
        <v>871</v>
      </c>
      <c r="K183" s="4" t="s">
        <v>865</v>
      </c>
      <c r="L183" s="6" t="s">
        <v>95</v>
      </c>
    </row>
    <row r="184" spans="1:12" ht="72" customHeight="1">
      <c r="A184" s="4" t="s">
        <v>872</v>
      </c>
      <c r="B184" s="4" t="s">
        <v>851</v>
      </c>
      <c r="C184" s="4" t="s">
        <v>873</v>
      </c>
      <c r="D184" s="4" t="s">
        <v>42</v>
      </c>
      <c r="E184" s="4" t="s">
        <v>33</v>
      </c>
      <c r="F184" s="4" t="s">
        <v>33</v>
      </c>
      <c r="G184" s="4" t="s">
        <v>853</v>
      </c>
      <c r="H184" s="4" t="s">
        <v>854</v>
      </c>
      <c r="I184" s="4" t="s">
        <v>855</v>
      </c>
      <c r="J184" s="4" t="s">
        <v>874</v>
      </c>
      <c r="K184" s="4" t="s">
        <v>865</v>
      </c>
      <c r="L184" s="6" t="s">
        <v>165</v>
      </c>
    </row>
    <row r="185" spans="1:12" ht="72" customHeight="1">
      <c r="A185" s="4" t="s">
        <v>875</v>
      </c>
      <c r="B185" s="4" t="s">
        <v>851</v>
      </c>
      <c r="C185" s="4" t="s">
        <v>876</v>
      </c>
      <c r="D185" s="4" t="s">
        <v>42</v>
      </c>
      <c r="E185" s="4" t="s">
        <v>33</v>
      </c>
      <c r="F185" s="4" t="s">
        <v>33</v>
      </c>
      <c r="G185" s="4" t="s">
        <v>853</v>
      </c>
      <c r="H185" s="4" t="s">
        <v>854</v>
      </c>
      <c r="I185" s="4" t="s">
        <v>855</v>
      </c>
      <c r="J185" s="4" t="s">
        <v>877</v>
      </c>
      <c r="K185" s="4" t="s">
        <v>878</v>
      </c>
      <c r="L185" s="6" t="s">
        <v>408</v>
      </c>
    </row>
    <row r="186" spans="1:12" ht="72" customHeight="1">
      <c r="A186" s="4" t="s">
        <v>879</v>
      </c>
      <c r="B186" s="4" t="s">
        <v>851</v>
      </c>
      <c r="C186" s="4" t="s">
        <v>880</v>
      </c>
      <c r="D186" s="4" t="s">
        <v>42</v>
      </c>
      <c r="E186" s="4" t="s">
        <v>33</v>
      </c>
      <c r="F186" s="4" t="s">
        <v>33</v>
      </c>
      <c r="G186" s="4" t="s">
        <v>853</v>
      </c>
      <c r="H186" s="4" t="s">
        <v>854</v>
      </c>
      <c r="I186" s="4" t="s">
        <v>855</v>
      </c>
      <c r="J186" s="4" t="s">
        <v>881</v>
      </c>
      <c r="K186" s="4" t="s">
        <v>865</v>
      </c>
      <c r="L186" s="6" t="s">
        <v>153</v>
      </c>
    </row>
    <row r="187" spans="1:12" ht="72" customHeight="1">
      <c r="A187" s="4" t="s">
        <v>882</v>
      </c>
      <c r="B187" s="4" t="s">
        <v>851</v>
      </c>
      <c r="C187" s="4" t="s">
        <v>883</v>
      </c>
      <c r="D187" s="4" t="s">
        <v>42</v>
      </c>
      <c r="E187" s="4" t="s">
        <v>33</v>
      </c>
      <c r="F187" s="4" t="s">
        <v>33</v>
      </c>
      <c r="G187" s="4" t="s">
        <v>853</v>
      </c>
      <c r="H187" s="4" t="s">
        <v>854</v>
      </c>
      <c r="I187" s="4" t="s">
        <v>855</v>
      </c>
      <c r="J187" s="4" t="s">
        <v>884</v>
      </c>
      <c r="K187" s="4" t="s">
        <v>885</v>
      </c>
      <c r="L187" s="6" t="s">
        <v>103</v>
      </c>
    </row>
    <row r="188" spans="1:12" ht="72" customHeight="1">
      <c r="A188" s="4" t="s">
        <v>886</v>
      </c>
      <c r="B188" s="4" t="s">
        <v>887</v>
      </c>
      <c r="C188" s="4" t="s">
        <v>888</v>
      </c>
      <c r="D188" s="4" t="s">
        <v>42</v>
      </c>
      <c r="E188" s="4" t="s">
        <v>33</v>
      </c>
      <c r="F188" s="4" t="s">
        <v>33</v>
      </c>
      <c r="G188" s="4" t="s">
        <v>889</v>
      </c>
      <c r="H188" s="4" t="s">
        <v>889</v>
      </c>
      <c r="I188" s="4" t="s">
        <v>890</v>
      </c>
      <c r="J188" s="4" t="s">
        <v>891</v>
      </c>
      <c r="K188" s="4" t="s">
        <v>892</v>
      </c>
      <c r="L188" s="6" t="s">
        <v>39</v>
      </c>
    </row>
    <row r="189" spans="1:12" ht="72" customHeight="1">
      <c r="A189" s="4" t="s">
        <v>893</v>
      </c>
      <c r="B189" s="4" t="s">
        <v>887</v>
      </c>
      <c r="C189" s="4" t="s">
        <v>894</v>
      </c>
      <c r="D189" s="4" t="s">
        <v>42</v>
      </c>
      <c r="E189" s="4" t="s">
        <v>33</v>
      </c>
      <c r="F189" s="4" t="s">
        <v>33</v>
      </c>
      <c r="G189" s="4" t="s">
        <v>889</v>
      </c>
      <c r="H189" s="4" t="s">
        <v>889</v>
      </c>
      <c r="I189" s="4" t="s">
        <v>890</v>
      </c>
      <c r="J189" s="4" t="s">
        <v>895</v>
      </c>
      <c r="K189" s="4" t="s">
        <v>896</v>
      </c>
      <c r="L189" s="6" t="s">
        <v>669</v>
      </c>
    </row>
    <row r="190" spans="1:12" ht="72" customHeight="1">
      <c r="A190" s="4" t="s">
        <v>897</v>
      </c>
      <c r="B190" s="4" t="s">
        <v>887</v>
      </c>
      <c r="C190" s="4" t="s">
        <v>898</v>
      </c>
      <c r="D190" s="4" t="s">
        <v>42</v>
      </c>
      <c r="E190" s="4" t="s">
        <v>33</v>
      </c>
      <c r="F190" s="4" t="s">
        <v>33</v>
      </c>
      <c r="G190" s="4" t="s">
        <v>889</v>
      </c>
      <c r="H190" s="4" t="s">
        <v>889</v>
      </c>
      <c r="I190" s="4" t="s">
        <v>890</v>
      </c>
      <c r="J190" s="4" t="s">
        <v>899</v>
      </c>
      <c r="K190" s="4" t="s">
        <v>900</v>
      </c>
      <c r="L190" s="6" t="s">
        <v>518</v>
      </c>
    </row>
    <row r="191" spans="1:12" ht="72" customHeight="1">
      <c r="A191" s="4" t="s">
        <v>901</v>
      </c>
      <c r="B191" s="4" t="s">
        <v>887</v>
      </c>
      <c r="C191" s="4" t="s">
        <v>902</v>
      </c>
      <c r="D191" s="4" t="s">
        <v>42</v>
      </c>
      <c r="E191" s="4" t="s">
        <v>33</v>
      </c>
      <c r="F191" s="4" t="s">
        <v>33</v>
      </c>
      <c r="G191" s="4" t="s">
        <v>889</v>
      </c>
      <c r="H191" s="4" t="s">
        <v>889</v>
      </c>
      <c r="I191" s="4" t="s">
        <v>890</v>
      </c>
      <c r="J191" s="4" t="s">
        <v>903</v>
      </c>
      <c r="K191" s="4" t="s">
        <v>904</v>
      </c>
      <c r="L191" s="6" t="s">
        <v>88</v>
      </c>
    </row>
    <row r="192" spans="1:12" ht="72" customHeight="1">
      <c r="A192" s="4" t="s">
        <v>905</v>
      </c>
      <c r="B192" s="4" t="s">
        <v>887</v>
      </c>
      <c r="C192" s="4" t="s">
        <v>906</v>
      </c>
      <c r="D192" s="4" t="s">
        <v>42</v>
      </c>
      <c r="E192" s="4" t="s">
        <v>33</v>
      </c>
      <c r="F192" s="4" t="s">
        <v>33</v>
      </c>
      <c r="G192" s="4" t="s">
        <v>889</v>
      </c>
      <c r="H192" s="4" t="s">
        <v>889</v>
      </c>
      <c r="I192" s="4" t="s">
        <v>890</v>
      </c>
      <c r="J192" s="4" t="s">
        <v>907</v>
      </c>
      <c r="K192" s="4" t="s">
        <v>904</v>
      </c>
      <c r="L192" s="6" t="s">
        <v>153</v>
      </c>
    </row>
    <row r="193" spans="1:12" ht="72" customHeight="1">
      <c r="A193" s="4" t="s">
        <v>908</v>
      </c>
      <c r="B193" s="4" t="s">
        <v>887</v>
      </c>
      <c r="C193" s="4" t="s">
        <v>909</v>
      </c>
      <c r="D193" s="4" t="s">
        <v>42</v>
      </c>
      <c r="E193" s="4" t="s">
        <v>33</v>
      </c>
      <c r="F193" s="4" t="s">
        <v>33</v>
      </c>
      <c r="G193" s="4" t="s">
        <v>889</v>
      </c>
      <c r="H193" s="4" t="s">
        <v>889</v>
      </c>
      <c r="I193" s="4" t="s">
        <v>890</v>
      </c>
      <c r="J193" s="4" t="s">
        <v>910</v>
      </c>
      <c r="K193" s="4" t="s">
        <v>911</v>
      </c>
      <c r="L193" s="6" t="s">
        <v>408</v>
      </c>
    </row>
    <row r="194" spans="1:12" ht="72" customHeight="1">
      <c r="A194" s="4" t="s">
        <v>912</v>
      </c>
      <c r="B194" s="4" t="s">
        <v>887</v>
      </c>
      <c r="C194" s="4" t="s">
        <v>913</v>
      </c>
      <c r="D194" s="4" t="s">
        <v>42</v>
      </c>
      <c r="E194" s="4" t="s">
        <v>33</v>
      </c>
      <c r="F194" s="4" t="s">
        <v>33</v>
      </c>
      <c r="G194" s="4" t="s">
        <v>889</v>
      </c>
      <c r="H194" s="4" t="s">
        <v>889</v>
      </c>
      <c r="I194" s="4" t="s">
        <v>890</v>
      </c>
      <c r="J194" s="4" t="s">
        <v>914</v>
      </c>
      <c r="K194" s="4" t="s">
        <v>904</v>
      </c>
      <c r="L194" s="6" t="s">
        <v>165</v>
      </c>
    </row>
    <row r="195" spans="1:12" ht="72" customHeight="1">
      <c r="A195" s="4" t="s">
        <v>915</v>
      </c>
      <c r="B195" s="4" t="s">
        <v>887</v>
      </c>
      <c r="C195" s="4" t="s">
        <v>916</v>
      </c>
      <c r="D195" s="4" t="s">
        <v>42</v>
      </c>
      <c r="E195" s="4" t="s">
        <v>33</v>
      </c>
      <c r="F195" s="4" t="s">
        <v>33</v>
      </c>
      <c r="G195" s="4" t="s">
        <v>889</v>
      </c>
      <c r="H195" s="4" t="s">
        <v>889</v>
      </c>
      <c r="I195" s="4" t="s">
        <v>890</v>
      </c>
      <c r="J195" s="4" t="s">
        <v>917</v>
      </c>
      <c r="K195" s="4" t="s">
        <v>904</v>
      </c>
      <c r="L195" s="6" t="s">
        <v>518</v>
      </c>
    </row>
    <row r="196" spans="1:12" ht="72" customHeight="1">
      <c r="A196" s="4" t="s">
        <v>918</v>
      </c>
      <c r="B196" s="4" t="s">
        <v>887</v>
      </c>
      <c r="C196" s="4" t="s">
        <v>919</v>
      </c>
      <c r="D196" s="4" t="s">
        <v>42</v>
      </c>
      <c r="E196" s="4" t="s">
        <v>33</v>
      </c>
      <c r="F196" s="4" t="s">
        <v>33</v>
      </c>
      <c r="G196" s="4" t="s">
        <v>889</v>
      </c>
      <c r="H196" s="4" t="s">
        <v>889</v>
      </c>
      <c r="I196" s="4" t="s">
        <v>890</v>
      </c>
      <c r="J196" s="4" t="s">
        <v>920</v>
      </c>
      <c r="K196" s="4" t="s">
        <v>904</v>
      </c>
      <c r="L196" s="6" t="s">
        <v>165</v>
      </c>
    </row>
    <row r="197" spans="1:12" ht="72" customHeight="1">
      <c r="A197" s="4" t="s">
        <v>921</v>
      </c>
      <c r="B197" s="4" t="s">
        <v>922</v>
      </c>
      <c r="C197" s="4" t="s">
        <v>923</v>
      </c>
      <c r="D197" s="4" t="s">
        <v>42</v>
      </c>
      <c r="E197" s="4" t="s">
        <v>33</v>
      </c>
      <c r="F197" s="4" t="s">
        <v>33</v>
      </c>
      <c r="G197" s="4" t="s">
        <v>924</v>
      </c>
      <c r="H197" s="4" t="s">
        <v>924</v>
      </c>
      <c r="I197" s="4" t="s">
        <v>925</v>
      </c>
      <c r="J197" s="4" t="s">
        <v>926</v>
      </c>
      <c r="K197" s="4" t="s">
        <v>927</v>
      </c>
      <c r="L197" s="6" t="s">
        <v>39</v>
      </c>
    </row>
    <row r="198" spans="1:12" ht="72" customHeight="1">
      <c r="A198" s="4" t="s">
        <v>928</v>
      </c>
      <c r="B198" s="4" t="s">
        <v>922</v>
      </c>
      <c r="C198" s="4" t="s">
        <v>929</v>
      </c>
      <c r="D198" s="4" t="s">
        <v>42</v>
      </c>
      <c r="E198" s="4" t="s">
        <v>33</v>
      </c>
      <c r="F198" s="4" t="s">
        <v>33</v>
      </c>
      <c r="G198" s="4" t="s">
        <v>924</v>
      </c>
      <c r="H198" s="4" t="s">
        <v>924</v>
      </c>
      <c r="I198" s="4" t="s">
        <v>925</v>
      </c>
      <c r="J198" s="4" t="s">
        <v>930</v>
      </c>
      <c r="K198" s="4" t="s">
        <v>931</v>
      </c>
      <c r="L198" s="6" t="s">
        <v>153</v>
      </c>
    </row>
    <row r="199" spans="1:12" ht="72" customHeight="1">
      <c r="A199" s="4" t="s">
        <v>932</v>
      </c>
      <c r="B199" s="4" t="s">
        <v>922</v>
      </c>
      <c r="C199" s="4" t="s">
        <v>933</v>
      </c>
      <c r="D199" s="4" t="s">
        <v>42</v>
      </c>
      <c r="E199" s="4" t="s">
        <v>33</v>
      </c>
      <c r="F199" s="4" t="s">
        <v>33</v>
      </c>
      <c r="G199" s="4" t="s">
        <v>924</v>
      </c>
      <c r="H199" s="4" t="s">
        <v>924</v>
      </c>
      <c r="I199" s="4" t="s">
        <v>925</v>
      </c>
      <c r="J199" s="4" t="s">
        <v>934</v>
      </c>
      <c r="K199" s="4" t="s">
        <v>935</v>
      </c>
      <c r="L199" s="6" t="s">
        <v>88</v>
      </c>
    </row>
    <row r="200" spans="1:12" ht="72" customHeight="1">
      <c r="A200" s="4" t="s">
        <v>936</v>
      </c>
      <c r="B200" s="4" t="s">
        <v>922</v>
      </c>
      <c r="C200" s="4" t="s">
        <v>937</v>
      </c>
      <c r="D200" s="4" t="s">
        <v>42</v>
      </c>
      <c r="E200" s="4" t="s">
        <v>33</v>
      </c>
      <c r="F200" s="4" t="s">
        <v>33</v>
      </c>
      <c r="G200" s="4" t="s">
        <v>924</v>
      </c>
      <c r="H200" s="4" t="s">
        <v>924</v>
      </c>
      <c r="I200" s="4" t="s">
        <v>925</v>
      </c>
      <c r="J200" s="4" t="s">
        <v>938</v>
      </c>
      <c r="K200" s="4" t="s">
        <v>935</v>
      </c>
      <c r="L200" s="6" t="s">
        <v>518</v>
      </c>
    </row>
    <row r="201" spans="1:12" ht="72" customHeight="1">
      <c r="A201" s="4" t="s">
        <v>939</v>
      </c>
      <c r="B201" s="4" t="s">
        <v>922</v>
      </c>
      <c r="C201" s="4" t="s">
        <v>940</v>
      </c>
      <c r="D201" s="4" t="s">
        <v>42</v>
      </c>
      <c r="E201" s="4" t="s">
        <v>33</v>
      </c>
      <c r="F201" s="4" t="s">
        <v>33</v>
      </c>
      <c r="G201" s="4" t="s">
        <v>924</v>
      </c>
      <c r="H201" s="4" t="s">
        <v>924</v>
      </c>
      <c r="I201" s="4" t="s">
        <v>925</v>
      </c>
      <c r="J201" s="4" t="s">
        <v>941</v>
      </c>
      <c r="K201" s="4" t="s">
        <v>942</v>
      </c>
      <c r="L201" s="6" t="s">
        <v>518</v>
      </c>
    </row>
    <row r="202" spans="1:12" ht="72" customHeight="1">
      <c r="A202" s="4" t="s">
        <v>943</v>
      </c>
      <c r="B202" s="4" t="s">
        <v>922</v>
      </c>
      <c r="C202" s="4" t="s">
        <v>944</v>
      </c>
      <c r="D202" s="4" t="s">
        <v>42</v>
      </c>
      <c r="E202" s="4" t="s">
        <v>33</v>
      </c>
      <c r="F202" s="4" t="s">
        <v>33</v>
      </c>
      <c r="G202" s="4" t="s">
        <v>924</v>
      </c>
      <c r="H202" s="4" t="s">
        <v>924</v>
      </c>
      <c r="I202" s="4" t="s">
        <v>925</v>
      </c>
      <c r="J202" s="4" t="s">
        <v>945</v>
      </c>
      <c r="K202" s="4" t="s">
        <v>946</v>
      </c>
      <c r="L202" s="6" t="s">
        <v>103</v>
      </c>
    </row>
    <row r="203" spans="1:12" ht="72" customHeight="1">
      <c r="A203" s="4" t="s">
        <v>947</v>
      </c>
      <c r="B203" s="4" t="s">
        <v>948</v>
      </c>
      <c r="C203" s="4" t="s">
        <v>949</v>
      </c>
      <c r="D203" s="4" t="s">
        <v>42</v>
      </c>
      <c r="E203" s="4" t="s">
        <v>33</v>
      </c>
      <c r="F203" s="4" t="s">
        <v>33</v>
      </c>
      <c r="G203" s="4" t="s">
        <v>950</v>
      </c>
      <c r="H203" s="4" t="s">
        <v>950</v>
      </c>
      <c r="I203" s="4" t="s">
        <v>951</v>
      </c>
      <c r="J203" s="4" t="s">
        <v>952</v>
      </c>
      <c r="K203" s="4" t="s">
        <v>953</v>
      </c>
      <c r="L203" s="6" t="s">
        <v>159</v>
      </c>
    </row>
    <row r="204" spans="1:12" ht="72" customHeight="1">
      <c r="A204" s="4" t="s">
        <v>954</v>
      </c>
      <c r="B204" s="4" t="s">
        <v>948</v>
      </c>
      <c r="C204" s="4" t="s">
        <v>955</v>
      </c>
      <c r="D204" s="4" t="s">
        <v>42</v>
      </c>
      <c r="E204" s="4" t="s">
        <v>33</v>
      </c>
      <c r="F204" s="4" t="s">
        <v>33</v>
      </c>
      <c r="G204" s="4" t="s">
        <v>950</v>
      </c>
      <c r="H204" s="4" t="s">
        <v>950</v>
      </c>
      <c r="I204" s="4" t="s">
        <v>951</v>
      </c>
      <c r="J204" s="4" t="s">
        <v>956</v>
      </c>
      <c r="K204" s="4" t="s">
        <v>957</v>
      </c>
      <c r="L204" s="6" t="s">
        <v>147</v>
      </c>
    </row>
    <row r="205" spans="1:12" ht="72" customHeight="1">
      <c r="A205" s="4" t="s">
        <v>958</v>
      </c>
      <c r="B205" s="4" t="s">
        <v>948</v>
      </c>
      <c r="C205" s="4" t="s">
        <v>959</v>
      </c>
      <c r="D205" s="4" t="s">
        <v>42</v>
      </c>
      <c r="E205" s="4" t="s">
        <v>33</v>
      </c>
      <c r="F205" s="4" t="s">
        <v>33</v>
      </c>
      <c r="G205" s="4" t="s">
        <v>950</v>
      </c>
      <c r="H205" s="4" t="s">
        <v>950</v>
      </c>
      <c r="I205" s="4" t="s">
        <v>951</v>
      </c>
      <c r="J205" s="4" t="s">
        <v>960</v>
      </c>
      <c r="K205" s="4" t="s">
        <v>961</v>
      </c>
      <c r="L205" s="6" t="s">
        <v>153</v>
      </c>
    </row>
    <row r="206" spans="1:12" ht="72" customHeight="1">
      <c r="A206" s="4" t="s">
        <v>962</v>
      </c>
      <c r="B206" s="4" t="s">
        <v>948</v>
      </c>
      <c r="C206" s="4" t="s">
        <v>963</v>
      </c>
      <c r="D206" s="4" t="s">
        <v>42</v>
      </c>
      <c r="E206" s="4" t="s">
        <v>33</v>
      </c>
      <c r="F206" s="4" t="s">
        <v>33</v>
      </c>
      <c r="G206" s="4" t="s">
        <v>950</v>
      </c>
      <c r="H206" s="4" t="s">
        <v>950</v>
      </c>
      <c r="I206" s="4" t="s">
        <v>951</v>
      </c>
      <c r="J206" s="4" t="s">
        <v>964</v>
      </c>
      <c r="K206" s="4" t="s">
        <v>965</v>
      </c>
      <c r="L206" s="6" t="s">
        <v>165</v>
      </c>
    </row>
    <row r="207" spans="1:12" ht="72" customHeight="1">
      <c r="A207" s="4" t="s">
        <v>966</v>
      </c>
      <c r="B207" s="4" t="s">
        <v>948</v>
      </c>
      <c r="C207" s="4" t="s">
        <v>967</v>
      </c>
      <c r="D207" s="4" t="s">
        <v>42</v>
      </c>
      <c r="E207" s="4" t="s">
        <v>33</v>
      </c>
      <c r="F207" s="4" t="s">
        <v>33</v>
      </c>
      <c r="G207" s="4" t="s">
        <v>950</v>
      </c>
      <c r="H207" s="4" t="s">
        <v>950</v>
      </c>
      <c r="I207" s="4" t="s">
        <v>951</v>
      </c>
      <c r="J207" s="4" t="s">
        <v>968</v>
      </c>
      <c r="K207" s="4" t="s">
        <v>969</v>
      </c>
      <c r="L207" s="6" t="s">
        <v>518</v>
      </c>
    </row>
    <row r="208" spans="1:12" ht="72" customHeight="1">
      <c r="A208" s="4" t="s">
        <v>970</v>
      </c>
      <c r="B208" s="4" t="s">
        <v>948</v>
      </c>
      <c r="C208" s="4" t="s">
        <v>971</v>
      </c>
      <c r="D208" s="4" t="s">
        <v>42</v>
      </c>
      <c r="E208" s="4" t="s">
        <v>33</v>
      </c>
      <c r="F208" s="4" t="s">
        <v>33</v>
      </c>
      <c r="G208" s="4" t="s">
        <v>950</v>
      </c>
      <c r="H208" s="4" t="s">
        <v>950</v>
      </c>
      <c r="I208" s="4" t="s">
        <v>951</v>
      </c>
      <c r="J208" s="4" t="s">
        <v>972</v>
      </c>
      <c r="K208" s="4" t="s">
        <v>973</v>
      </c>
      <c r="L208" s="6" t="s">
        <v>88</v>
      </c>
    </row>
    <row r="209" spans="1:12" ht="72" customHeight="1">
      <c r="A209" s="4" t="s">
        <v>974</v>
      </c>
      <c r="B209" s="4" t="s">
        <v>975</v>
      </c>
      <c r="C209" s="4" t="s">
        <v>976</v>
      </c>
      <c r="D209" s="4" t="s">
        <v>42</v>
      </c>
      <c r="E209" s="4" t="s">
        <v>33</v>
      </c>
      <c r="F209" s="4" t="s">
        <v>33</v>
      </c>
      <c r="G209" s="4" t="s">
        <v>977</v>
      </c>
      <c r="H209" s="4" t="s">
        <v>978</v>
      </c>
      <c r="I209" s="4" t="s">
        <v>979</v>
      </c>
      <c r="J209" s="4" t="s">
        <v>980</v>
      </c>
      <c r="K209" s="4" t="s">
        <v>981</v>
      </c>
      <c r="L209" s="6" t="s">
        <v>518</v>
      </c>
    </row>
    <row r="210" spans="1:12" ht="72" customHeight="1">
      <c r="A210" s="4" t="s">
        <v>982</v>
      </c>
      <c r="B210" s="4" t="s">
        <v>975</v>
      </c>
      <c r="C210" s="4" t="s">
        <v>983</v>
      </c>
      <c r="D210" s="4" t="s">
        <v>42</v>
      </c>
      <c r="E210" s="4" t="s">
        <v>33</v>
      </c>
      <c r="F210" s="4" t="s">
        <v>33</v>
      </c>
      <c r="G210" s="4" t="s">
        <v>984</v>
      </c>
      <c r="H210" s="4" t="s">
        <v>985</v>
      </c>
      <c r="I210" s="4" t="s">
        <v>986</v>
      </c>
      <c r="J210" s="4" t="s">
        <v>987</v>
      </c>
      <c r="K210" s="4" t="s">
        <v>981</v>
      </c>
      <c r="L210" s="6" t="s">
        <v>311</v>
      </c>
    </row>
    <row r="211" spans="1:12" ht="72" customHeight="1">
      <c r="A211" s="4" t="s">
        <v>988</v>
      </c>
      <c r="B211" s="4" t="s">
        <v>975</v>
      </c>
      <c r="C211" s="4" t="s">
        <v>989</v>
      </c>
      <c r="D211" s="4" t="s">
        <v>42</v>
      </c>
      <c r="E211" s="4" t="s">
        <v>33</v>
      </c>
      <c r="F211" s="4" t="s">
        <v>33</v>
      </c>
      <c r="G211" s="4" t="s">
        <v>977</v>
      </c>
      <c r="H211" s="4" t="s">
        <v>978</v>
      </c>
      <c r="I211" s="4" t="s">
        <v>979</v>
      </c>
      <c r="J211" s="4" t="s">
        <v>990</v>
      </c>
      <c r="K211" s="4" t="s">
        <v>981</v>
      </c>
      <c r="L211" s="6" t="s">
        <v>165</v>
      </c>
    </row>
    <row r="212" spans="1:12" ht="72" customHeight="1">
      <c r="A212" s="4" t="s">
        <v>991</v>
      </c>
      <c r="B212" s="4" t="s">
        <v>975</v>
      </c>
      <c r="C212" s="4" t="s">
        <v>992</v>
      </c>
      <c r="D212" s="4" t="s">
        <v>42</v>
      </c>
      <c r="E212" s="4" t="s">
        <v>33</v>
      </c>
      <c r="F212" s="4" t="s">
        <v>33</v>
      </c>
      <c r="G212" s="4" t="s">
        <v>977</v>
      </c>
      <c r="H212" s="4" t="s">
        <v>978</v>
      </c>
      <c r="I212" s="4" t="s">
        <v>979</v>
      </c>
      <c r="J212" s="4" t="s">
        <v>993</v>
      </c>
      <c r="K212" s="4" t="s">
        <v>994</v>
      </c>
      <c r="L212" s="6" t="s">
        <v>518</v>
      </c>
    </row>
    <row r="213" spans="1:12" ht="72" customHeight="1">
      <c r="A213" s="4" t="s">
        <v>995</v>
      </c>
      <c r="B213" s="4" t="s">
        <v>975</v>
      </c>
      <c r="C213" s="4" t="s">
        <v>996</v>
      </c>
      <c r="D213" s="4" t="s">
        <v>42</v>
      </c>
      <c r="E213" s="4" t="s">
        <v>33</v>
      </c>
      <c r="F213" s="4" t="s">
        <v>33</v>
      </c>
      <c r="G213" s="4" t="s">
        <v>984</v>
      </c>
      <c r="H213" s="4" t="s">
        <v>985</v>
      </c>
      <c r="I213" s="4" t="s">
        <v>986</v>
      </c>
      <c r="J213" s="4" t="s">
        <v>997</v>
      </c>
      <c r="K213" s="4" t="s">
        <v>998</v>
      </c>
      <c r="L213" s="6" t="s">
        <v>81</v>
      </c>
    </row>
    <row r="214" spans="1:12" ht="72" customHeight="1">
      <c r="A214" s="4" t="s">
        <v>999</v>
      </c>
      <c r="B214" s="4" t="s">
        <v>975</v>
      </c>
      <c r="C214" s="4" t="s">
        <v>1000</v>
      </c>
      <c r="D214" s="4" t="s">
        <v>42</v>
      </c>
      <c r="E214" s="4" t="s">
        <v>33</v>
      </c>
      <c r="F214" s="4" t="s">
        <v>33</v>
      </c>
      <c r="G214" s="4" t="s">
        <v>977</v>
      </c>
      <c r="H214" s="4" t="s">
        <v>978</v>
      </c>
      <c r="I214" s="4" t="s">
        <v>979</v>
      </c>
      <c r="J214" s="4" t="s">
        <v>1001</v>
      </c>
      <c r="K214" s="4" t="s">
        <v>994</v>
      </c>
      <c r="L214" s="6" t="s">
        <v>103</v>
      </c>
    </row>
    <row r="215" spans="1:12" ht="72" customHeight="1">
      <c r="A215" s="4" t="s">
        <v>1002</v>
      </c>
      <c r="B215" s="4" t="s">
        <v>1003</v>
      </c>
      <c r="C215" s="4" t="s">
        <v>1004</v>
      </c>
      <c r="D215" s="4" t="s">
        <v>42</v>
      </c>
      <c r="E215" s="4" t="s">
        <v>33</v>
      </c>
      <c r="F215" s="4" t="s">
        <v>33</v>
      </c>
      <c r="G215" s="4" t="s">
        <v>1005</v>
      </c>
      <c r="H215" s="4" t="s">
        <v>1005</v>
      </c>
      <c r="I215" s="4" t="s">
        <v>1006</v>
      </c>
      <c r="J215" s="4" t="s">
        <v>1007</v>
      </c>
      <c r="K215" s="4" t="s">
        <v>1008</v>
      </c>
      <c r="L215" s="6" t="s">
        <v>159</v>
      </c>
    </row>
    <row r="216" spans="1:12" ht="72" customHeight="1">
      <c r="A216" s="4" t="s">
        <v>1009</v>
      </c>
      <c r="B216" s="4" t="s">
        <v>1003</v>
      </c>
      <c r="C216" s="4" t="s">
        <v>1010</v>
      </c>
      <c r="D216" s="4" t="s">
        <v>42</v>
      </c>
      <c r="E216" s="4" t="s">
        <v>33</v>
      </c>
      <c r="F216" s="4" t="s">
        <v>33</v>
      </c>
      <c r="G216" s="4" t="s">
        <v>1005</v>
      </c>
      <c r="H216" s="4" t="s">
        <v>1005</v>
      </c>
      <c r="I216" s="4" t="s">
        <v>1006</v>
      </c>
      <c r="J216" s="4" t="s">
        <v>1011</v>
      </c>
      <c r="K216" s="4" t="s">
        <v>1008</v>
      </c>
      <c r="L216" s="6" t="s">
        <v>153</v>
      </c>
    </row>
    <row r="217" spans="1:12" ht="72" customHeight="1">
      <c r="A217" s="4" t="s">
        <v>1012</v>
      </c>
      <c r="B217" s="4" t="s">
        <v>1003</v>
      </c>
      <c r="C217" s="4" t="s">
        <v>1013</v>
      </c>
      <c r="D217" s="4" t="s">
        <v>42</v>
      </c>
      <c r="E217" s="4" t="s">
        <v>33</v>
      </c>
      <c r="F217" s="4" t="s">
        <v>33</v>
      </c>
      <c r="G217" s="4" t="s">
        <v>1005</v>
      </c>
      <c r="H217" s="4" t="s">
        <v>1005</v>
      </c>
      <c r="I217" s="4" t="s">
        <v>1006</v>
      </c>
      <c r="J217" s="4" t="s">
        <v>1014</v>
      </c>
      <c r="K217" s="4" t="s">
        <v>1008</v>
      </c>
      <c r="L217" s="6" t="s">
        <v>159</v>
      </c>
    </row>
    <row r="218" spans="1:12" ht="72" customHeight="1">
      <c r="A218" s="4" t="s">
        <v>1015</v>
      </c>
      <c r="B218" s="4" t="s">
        <v>1003</v>
      </c>
      <c r="C218" s="4" t="s">
        <v>1016</v>
      </c>
      <c r="D218" s="4" t="s">
        <v>42</v>
      </c>
      <c r="E218" s="4" t="s">
        <v>33</v>
      </c>
      <c r="F218" s="4" t="s">
        <v>33</v>
      </c>
      <c r="G218" s="4" t="s">
        <v>1005</v>
      </c>
      <c r="H218" s="4" t="s">
        <v>1005</v>
      </c>
      <c r="I218" s="4" t="s">
        <v>1006</v>
      </c>
      <c r="J218" s="4" t="s">
        <v>1017</v>
      </c>
      <c r="K218" s="4" t="s">
        <v>1018</v>
      </c>
      <c r="L218" s="6" t="s">
        <v>88</v>
      </c>
    </row>
    <row r="219" spans="1:12" ht="72" customHeight="1">
      <c r="A219" s="4" t="s">
        <v>1019</v>
      </c>
      <c r="B219" s="4" t="s">
        <v>1003</v>
      </c>
      <c r="C219" s="4" t="s">
        <v>1020</v>
      </c>
      <c r="D219" s="4" t="s">
        <v>42</v>
      </c>
      <c r="E219" s="4" t="s">
        <v>33</v>
      </c>
      <c r="F219" s="4" t="s">
        <v>33</v>
      </c>
      <c r="G219" s="4" t="s">
        <v>1005</v>
      </c>
      <c r="H219" s="4" t="s">
        <v>1005</v>
      </c>
      <c r="I219" s="4" t="s">
        <v>1006</v>
      </c>
      <c r="J219" s="4" t="s">
        <v>1021</v>
      </c>
      <c r="K219" s="4" t="s">
        <v>1022</v>
      </c>
      <c r="L219" s="6" t="s">
        <v>165</v>
      </c>
    </row>
    <row r="220" spans="1:12" ht="72" customHeight="1">
      <c r="A220" s="4" t="s">
        <v>1023</v>
      </c>
      <c r="B220" s="4" t="s">
        <v>1024</v>
      </c>
      <c r="C220" s="4" t="s">
        <v>1025</v>
      </c>
      <c r="D220" s="4" t="s">
        <v>32</v>
      </c>
      <c r="E220" s="4" t="s">
        <v>33</v>
      </c>
      <c r="F220" s="4" t="s">
        <v>33</v>
      </c>
      <c r="G220" s="4" t="s">
        <v>1026</v>
      </c>
      <c r="H220" s="4" t="s">
        <v>1026</v>
      </c>
      <c r="I220" s="4" t="s">
        <v>1027</v>
      </c>
      <c r="J220" s="4" t="s">
        <v>1028</v>
      </c>
      <c r="K220" s="4" t="s">
        <v>1029</v>
      </c>
      <c r="L220" s="6" t="s">
        <v>39</v>
      </c>
    </row>
    <row r="221" spans="1:12" ht="72" customHeight="1">
      <c r="A221" s="4" t="s">
        <v>1030</v>
      </c>
      <c r="B221" s="4" t="s">
        <v>1024</v>
      </c>
      <c r="C221" s="4" t="s">
        <v>1031</v>
      </c>
      <c r="D221" s="4" t="s">
        <v>32</v>
      </c>
      <c r="E221" s="4" t="s">
        <v>33</v>
      </c>
      <c r="F221" s="4" t="s">
        <v>33</v>
      </c>
      <c r="G221" s="4" t="s">
        <v>1032</v>
      </c>
      <c r="H221" s="4" t="s">
        <v>1032</v>
      </c>
      <c r="I221" s="4" t="s">
        <v>1027</v>
      </c>
      <c r="J221" s="4" t="s">
        <v>1033</v>
      </c>
      <c r="K221" s="4" t="s">
        <v>1029</v>
      </c>
      <c r="L221" s="6" t="s">
        <v>1034</v>
      </c>
    </row>
    <row r="222" spans="1:12" ht="72" customHeight="1">
      <c r="A222" s="4" t="s">
        <v>1035</v>
      </c>
      <c r="B222" s="4" t="s">
        <v>1024</v>
      </c>
      <c r="C222" s="4" t="s">
        <v>1036</v>
      </c>
      <c r="D222" s="4" t="s">
        <v>32</v>
      </c>
      <c r="E222" s="4" t="s">
        <v>33</v>
      </c>
      <c r="F222" s="4" t="s">
        <v>33</v>
      </c>
      <c r="G222" s="4" t="s">
        <v>1037</v>
      </c>
      <c r="H222" s="4" t="s">
        <v>1037</v>
      </c>
      <c r="I222" s="4" t="s">
        <v>1027</v>
      </c>
      <c r="J222" s="4" t="s">
        <v>1038</v>
      </c>
      <c r="K222" s="4" t="s">
        <v>1039</v>
      </c>
      <c r="L222" s="6" t="s">
        <v>311</v>
      </c>
    </row>
    <row r="223" spans="1:12" ht="72" customHeight="1">
      <c r="A223" s="4" t="s">
        <v>1040</v>
      </c>
      <c r="B223" s="4" t="s">
        <v>1024</v>
      </c>
      <c r="C223" s="4" t="s">
        <v>1041</v>
      </c>
      <c r="D223" s="4" t="s">
        <v>32</v>
      </c>
      <c r="E223" s="4" t="s">
        <v>33</v>
      </c>
      <c r="F223" s="4" t="s">
        <v>33</v>
      </c>
      <c r="G223" s="4" t="s">
        <v>1042</v>
      </c>
      <c r="H223" s="4" t="s">
        <v>1042</v>
      </c>
      <c r="I223" s="4" t="s">
        <v>1027</v>
      </c>
      <c r="J223" s="4" t="s">
        <v>1043</v>
      </c>
      <c r="K223" s="4" t="s">
        <v>1044</v>
      </c>
      <c r="L223" s="6" t="s">
        <v>1045</v>
      </c>
    </row>
    <row r="224" spans="1:12" ht="72" customHeight="1">
      <c r="A224" s="4" t="s">
        <v>1046</v>
      </c>
      <c r="B224" s="4" t="s">
        <v>1024</v>
      </c>
      <c r="C224" s="4" t="s">
        <v>1047</v>
      </c>
      <c r="D224" s="4" t="s">
        <v>32</v>
      </c>
      <c r="E224" s="4" t="s">
        <v>33</v>
      </c>
      <c r="F224" s="4" t="s">
        <v>33</v>
      </c>
      <c r="G224" s="4" t="s">
        <v>1048</v>
      </c>
      <c r="H224" s="4" t="s">
        <v>1048</v>
      </c>
      <c r="I224" s="4" t="s">
        <v>1027</v>
      </c>
      <c r="J224" s="4" t="s">
        <v>1049</v>
      </c>
      <c r="K224" s="4" t="s">
        <v>1050</v>
      </c>
      <c r="L224" s="6" t="s">
        <v>518</v>
      </c>
    </row>
    <row r="225" spans="1:12" ht="72" customHeight="1">
      <c r="A225" s="4" t="s">
        <v>1051</v>
      </c>
      <c r="B225" s="4" t="s">
        <v>1024</v>
      </c>
      <c r="C225" s="4" t="s">
        <v>1052</v>
      </c>
      <c r="D225" s="4" t="s">
        <v>32</v>
      </c>
      <c r="E225" s="4" t="s">
        <v>33</v>
      </c>
      <c r="F225" s="4" t="s">
        <v>33</v>
      </c>
      <c r="G225" s="4" t="s">
        <v>1053</v>
      </c>
      <c r="H225" s="4" t="s">
        <v>1053</v>
      </c>
      <c r="I225" s="4" t="s">
        <v>1027</v>
      </c>
      <c r="J225" s="4" t="s">
        <v>1054</v>
      </c>
      <c r="K225" s="4" t="s">
        <v>1055</v>
      </c>
      <c r="L225" s="6" t="s">
        <v>518</v>
      </c>
    </row>
    <row r="226" spans="1:12" ht="72" customHeight="1">
      <c r="A226" s="4" t="s">
        <v>1056</v>
      </c>
      <c r="B226" s="4" t="s">
        <v>1024</v>
      </c>
      <c r="C226" s="4" t="s">
        <v>1057</v>
      </c>
      <c r="D226" s="4" t="s">
        <v>32</v>
      </c>
      <c r="E226" s="4" t="s">
        <v>33</v>
      </c>
      <c r="F226" s="4" t="s">
        <v>33</v>
      </c>
      <c r="G226" s="4" t="s">
        <v>1058</v>
      </c>
      <c r="H226" s="4" t="s">
        <v>1058</v>
      </c>
      <c r="I226" s="4" t="s">
        <v>1027</v>
      </c>
      <c r="J226" s="4" t="s">
        <v>1059</v>
      </c>
      <c r="K226" s="4" t="s">
        <v>1060</v>
      </c>
      <c r="L226" s="6" t="s">
        <v>95</v>
      </c>
    </row>
    <row r="227" spans="1:12" ht="72" customHeight="1">
      <c r="A227" s="4" t="s">
        <v>1061</v>
      </c>
      <c r="B227" s="4" t="s">
        <v>1024</v>
      </c>
      <c r="C227" s="4" t="s">
        <v>1062</v>
      </c>
      <c r="D227" s="4" t="s">
        <v>32</v>
      </c>
      <c r="E227" s="4" t="s">
        <v>33</v>
      </c>
      <c r="F227" s="4" t="s">
        <v>33</v>
      </c>
      <c r="G227" s="4" t="s">
        <v>1063</v>
      </c>
      <c r="H227" s="4" t="s">
        <v>1063</v>
      </c>
      <c r="I227" s="4" t="s">
        <v>1027</v>
      </c>
      <c r="J227" s="4" t="s">
        <v>1064</v>
      </c>
      <c r="K227" s="4" t="s">
        <v>1065</v>
      </c>
      <c r="L227" s="6" t="s">
        <v>88</v>
      </c>
    </row>
    <row r="228" spans="1:12" ht="72" customHeight="1">
      <c r="A228" s="4" t="s">
        <v>1066</v>
      </c>
      <c r="B228" s="4" t="s">
        <v>1024</v>
      </c>
      <c r="C228" s="4" t="s">
        <v>1067</v>
      </c>
      <c r="D228" s="4" t="s">
        <v>32</v>
      </c>
      <c r="E228" s="4" t="s">
        <v>33</v>
      </c>
      <c r="F228" s="4" t="s">
        <v>33</v>
      </c>
      <c r="G228" s="4" t="s">
        <v>1068</v>
      </c>
      <c r="H228" s="4" t="s">
        <v>1068</v>
      </c>
      <c r="I228" s="4" t="s">
        <v>1027</v>
      </c>
      <c r="J228" s="4" t="s">
        <v>1069</v>
      </c>
      <c r="K228" s="4" t="s">
        <v>1070</v>
      </c>
      <c r="L228" s="6" t="s">
        <v>311</v>
      </c>
    </row>
    <row r="229" spans="1:12" ht="72" customHeight="1">
      <c r="A229" s="4" t="s">
        <v>1071</v>
      </c>
      <c r="B229" s="4" t="s">
        <v>1024</v>
      </c>
      <c r="C229" s="4" t="s">
        <v>1072</v>
      </c>
      <c r="D229" s="4" t="s">
        <v>32</v>
      </c>
      <c r="E229" s="4" t="s">
        <v>33</v>
      </c>
      <c r="F229" s="4" t="s">
        <v>33</v>
      </c>
      <c r="G229" s="4" t="s">
        <v>1073</v>
      </c>
      <c r="H229" s="4" t="s">
        <v>1073</v>
      </c>
      <c r="I229" s="4" t="s">
        <v>1027</v>
      </c>
      <c r="J229" s="4" t="s">
        <v>1074</v>
      </c>
      <c r="K229" s="4" t="s">
        <v>1029</v>
      </c>
      <c r="L229" s="6" t="s">
        <v>88</v>
      </c>
    </row>
    <row r="230" spans="1:12" ht="72" customHeight="1">
      <c r="A230" s="4" t="s">
        <v>1075</v>
      </c>
      <c r="B230" s="4" t="s">
        <v>1076</v>
      </c>
      <c r="C230" s="4" t="s">
        <v>1077</v>
      </c>
      <c r="D230" s="4" t="s">
        <v>42</v>
      </c>
      <c r="E230" s="4" t="s">
        <v>33</v>
      </c>
      <c r="F230" s="4" t="s">
        <v>33</v>
      </c>
      <c r="G230" s="4" t="s">
        <v>1078</v>
      </c>
      <c r="H230" s="4" t="s">
        <v>1078</v>
      </c>
      <c r="I230" s="4" t="s">
        <v>1079</v>
      </c>
      <c r="J230" s="4" t="s">
        <v>1080</v>
      </c>
      <c r="K230" s="4" t="s">
        <v>1081</v>
      </c>
      <c r="L230" s="6" t="s">
        <v>39</v>
      </c>
    </row>
    <row r="231" spans="1:12" ht="72" customHeight="1">
      <c r="A231" s="4" t="s">
        <v>1082</v>
      </c>
      <c r="B231" s="4" t="s">
        <v>1076</v>
      </c>
      <c r="C231" s="4" t="s">
        <v>1083</v>
      </c>
      <c r="D231" s="4" t="s">
        <v>42</v>
      </c>
      <c r="E231" s="4" t="s">
        <v>33</v>
      </c>
      <c r="F231" s="4" t="s">
        <v>33</v>
      </c>
      <c r="G231" s="4" t="s">
        <v>1078</v>
      </c>
      <c r="H231" s="4" t="s">
        <v>1078</v>
      </c>
      <c r="I231" s="4" t="s">
        <v>1079</v>
      </c>
      <c r="J231" s="4" t="s">
        <v>1084</v>
      </c>
      <c r="K231" s="4" t="s">
        <v>1081</v>
      </c>
      <c r="L231" s="6" t="s">
        <v>116</v>
      </c>
    </row>
    <row r="232" spans="1:12" ht="72" customHeight="1">
      <c r="A232" s="4" t="s">
        <v>1085</v>
      </c>
      <c r="B232" s="4" t="s">
        <v>1076</v>
      </c>
      <c r="C232" s="4" t="s">
        <v>1086</v>
      </c>
      <c r="D232" s="4" t="s">
        <v>42</v>
      </c>
      <c r="E232" s="4" t="s">
        <v>33</v>
      </c>
      <c r="F232" s="4" t="s">
        <v>33</v>
      </c>
      <c r="G232" s="4" t="s">
        <v>1078</v>
      </c>
      <c r="H232" s="4" t="s">
        <v>1078</v>
      </c>
      <c r="I232" s="4" t="s">
        <v>1079</v>
      </c>
      <c r="J232" s="4" t="s">
        <v>1087</v>
      </c>
      <c r="K232" s="4" t="s">
        <v>1081</v>
      </c>
      <c r="L232" s="6" t="s">
        <v>88</v>
      </c>
    </row>
    <row r="233" spans="1:12" ht="72" customHeight="1">
      <c r="A233" s="4" t="s">
        <v>1088</v>
      </c>
      <c r="B233" s="4" t="s">
        <v>1076</v>
      </c>
      <c r="C233" s="4" t="s">
        <v>1089</v>
      </c>
      <c r="D233" s="4" t="s">
        <v>42</v>
      </c>
      <c r="E233" s="4" t="s">
        <v>33</v>
      </c>
      <c r="F233" s="4" t="s">
        <v>33</v>
      </c>
      <c r="G233" s="4" t="s">
        <v>1078</v>
      </c>
      <c r="H233" s="4" t="s">
        <v>1078</v>
      </c>
      <c r="I233" s="4" t="s">
        <v>1079</v>
      </c>
      <c r="J233" s="4" t="s">
        <v>1090</v>
      </c>
      <c r="K233" s="4" t="s">
        <v>1081</v>
      </c>
      <c r="L233" s="6" t="s">
        <v>165</v>
      </c>
    </row>
    <row r="234" spans="1:12" ht="72" customHeight="1">
      <c r="A234" s="4" t="s">
        <v>1091</v>
      </c>
      <c r="B234" s="4" t="s">
        <v>1092</v>
      </c>
      <c r="C234" s="4" t="s">
        <v>1093</v>
      </c>
      <c r="D234" s="4" t="s">
        <v>42</v>
      </c>
      <c r="E234" s="4" t="s">
        <v>33</v>
      </c>
      <c r="F234" s="4" t="s">
        <v>33</v>
      </c>
      <c r="G234" s="4" t="s">
        <v>1094</v>
      </c>
      <c r="H234" s="4" t="s">
        <v>1094</v>
      </c>
      <c r="I234" s="4" t="s">
        <v>1095</v>
      </c>
      <c r="J234" s="4" t="s">
        <v>1096</v>
      </c>
      <c r="K234" s="4" t="s">
        <v>1097</v>
      </c>
      <c r="L234" s="6" t="s">
        <v>518</v>
      </c>
    </row>
    <row r="235" spans="1:12" ht="72" customHeight="1">
      <c r="A235" s="4" t="s">
        <v>1098</v>
      </c>
      <c r="B235" s="4" t="s">
        <v>1092</v>
      </c>
      <c r="C235" s="4" t="s">
        <v>1099</v>
      </c>
      <c r="D235" s="4" t="s">
        <v>42</v>
      </c>
      <c r="E235" s="4" t="s">
        <v>33</v>
      </c>
      <c r="F235" s="4" t="s">
        <v>33</v>
      </c>
      <c r="G235" s="4" t="s">
        <v>1094</v>
      </c>
      <c r="H235" s="4" t="s">
        <v>1094</v>
      </c>
      <c r="I235" s="4" t="s">
        <v>1095</v>
      </c>
      <c r="J235" s="4" t="s">
        <v>1100</v>
      </c>
      <c r="K235" s="4" t="s">
        <v>1097</v>
      </c>
      <c r="L235" s="6" t="s">
        <v>88</v>
      </c>
    </row>
    <row r="236" spans="1:12" ht="72" customHeight="1">
      <c r="A236" s="4" t="s">
        <v>1101</v>
      </c>
      <c r="B236" s="4" t="s">
        <v>1092</v>
      </c>
      <c r="C236" s="4" t="s">
        <v>1102</v>
      </c>
      <c r="D236" s="4" t="s">
        <v>42</v>
      </c>
      <c r="E236" s="4" t="s">
        <v>33</v>
      </c>
      <c r="F236" s="4" t="s">
        <v>33</v>
      </c>
      <c r="G236" s="4" t="s">
        <v>1094</v>
      </c>
      <c r="H236" s="4" t="s">
        <v>1094</v>
      </c>
      <c r="I236" s="4" t="s">
        <v>1095</v>
      </c>
      <c r="J236" s="4" t="s">
        <v>1103</v>
      </c>
      <c r="K236" s="4" t="s">
        <v>1097</v>
      </c>
      <c r="L236" s="6" t="s">
        <v>81</v>
      </c>
    </row>
    <row r="237" spans="1:12" ht="72" customHeight="1">
      <c r="A237" s="4" t="s">
        <v>1104</v>
      </c>
      <c r="B237" s="4" t="s">
        <v>1092</v>
      </c>
      <c r="C237" s="4" t="s">
        <v>1105</v>
      </c>
      <c r="D237" s="4" t="s">
        <v>42</v>
      </c>
      <c r="E237" s="4" t="s">
        <v>33</v>
      </c>
      <c r="F237" s="4" t="s">
        <v>33</v>
      </c>
      <c r="G237" s="4" t="s">
        <v>1094</v>
      </c>
      <c r="H237" s="4" t="s">
        <v>1094</v>
      </c>
      <c r="I237" s="4" t="s">
        <v>1095</v>
      </c>
      <c r="J237" s="4" t="s">
        <v>1106</v>
      </c>
      <c r="K237" s="4" t="s">
        <v>1097</v>
      </c>
      <c r="L237" s="6" t="s">
        <v>518</v>
      </c>
    </row>
    <row r="238" spans="1:12" ht="72" customHeight="1">
      <c r="A238" s="4" t="s">
        <v>1107</v>
      </c>
      <c r="B238" s="4" t="s">
        <v>1108</v>
      </c>
      <c r="C238" s="4" t="s">
        <v>1109</v>
      </c>
      <c r="D238" s="4" t="s">
        <v>42</v>
      </c>
      <c r="E238" s="4" t="s">
        <v>33</v>
      </c>
      <c r="F238" s="4" t="s">
        <v>33</v>
      </c>
      <c r="G238" s="4" t="s">
        <v>1110</v>
      </c>
      <c r="H238" s="4" t="s">
        <v>1110</v>
      </c>
      <c r="I238" s="4" t="s">
        <v>1111</v>
      </c>
      <c r="J238" s="4" t="s">
        <v>1112</v>
      </c>
      <c r="K238" s="4" t="s">
        <v>1113</v>
      </c>
      <c r="L238" s="6" t="s">
        <v>141</v>
      </c>
    </row>
    <row r="239" spans="1:12" ht="72" customHeight="1">
      <c r="A239" s="4" t="s">
        <v>1114</v>
      </c>
      <c r="B239" s="4" t="s">
        <v>1108</v>
      </c>
      <c r="C239" s="4" t="s">
        <v>1115</v>
      </c>
      <c r="D239" s="4" t="s">
        <v>42</v>
      </c>
      <c r="E239" s="4" t="s">
        <v>33</v>
      </c>
      <c r="F239" s="4" t="s">
        <v>33</v>
      </c>
      <c r="G239" s="4" t="s">
        <v>1110</v>
      </c>
      <c r="H239" s="4" t="s">
        <v>1110</v>
      </c>
      <c r="I239" s="4" t="s">
        <v>1111</v>
      </c>
      <c r="J239" s="4" t="s">
        <v>1116</v>
      </c>
      <c r="K239" s="4" t="s">
        <v>1117</v>
      </c>
      <c r="L239" s="6" t="s">
        <v>165</v>
      </c>
    </row>
    <row r="240" spans="1:12" ht="72" customHeight="1">
      <c r="A240" s="4" t="s">
        <v>1118</v>
      </c>
      <c r="B240" s="4" t="s">
        <v>1108</v>
      </c>
      <c r="C240" s="4" t="s">
        <v>1119</v>
      </c>
      <c r="D240" s="4" t="s">
        <v>42</v>
      </c>
      <c r="E240" s="4" t="s">
        <v>33</v>
      </c>
      <c r="F240" s="4" t="s">
        <v>33</v>
      </c>
      <c r="G240" s="4" t="s">
        <v>1110</v>
      </c>
      <c r="H240" s="4" t="s">
        <v>1110</v>
      </c>
      <c r="I240" s="4" t="s">
        <v>1111</v>
      </c>
      <c r="J240" s="4" t="s">
        <v>1120</v>
      </c>
      <c r="K240" s="4" t="s">
        <v>1121</v>
      </c>
      <c r="L240" s="6" t="s">
        <v>88</v>
      </c>
    </row>
    <row r="241" spans="1:12" ht="72" customHeight="1">
      <c r="A241" s="4" t="s">
        <v>1122</v>
      </c>
      <c r="B241" s="4" t="s">
        <v>1108</v>
      </c>
      <c r="C241" s="4" t="s">
        <v>1123</v>
      </c>
      <c r="D241" s="4" t="s">
        <v>42</v>
      </c>
      <c r="E241" s="4" t="s">
        <v>33</v>
      </c>
      <c r="F241" s="4" t="s">
        <v>33</v>
      </c>
      <c r="G241" s="4" t="s">
        <v>1110</v>
      </c>
      <c r="H241" s="4" t="s">
        <v>1110</v>
      </c>
      <c r="I241" s="4" t="s">
        <v>1111</v>
      </c>
      <c r="J241" s="4" t="s">
        <v>1124</v>
      </c>
      <c r="K241" s="4" t="s">
        <v>1125</v>
      </c>
      <c r="L241" s="6" t="s">
        <v>311</v>
      </c>
    </row>
    <row r="242" spans="1:12" ht="72" customHeight="1">
      <c r="A242" s="4" t="s">
        <v>1126</v>
      </c>
      <c r="B242" s="4" t="s">
        <v>1127</v>
      </c>
      <c r="C242" s="4" t="s">
        <v>1128</v>
      </c>
      <c r="D242" s="4" t="s">
        <v>42</v>
      </c>
      <c r="E242" s="4" t="s">
        <v>33</v>
      </c>
      <c r="F242" s="4" t="s">
        <v>33</v>
      </c>
      <c r="G242" s="4" t="s">
        <v>1129</v>
      </c>
      <c r="H242" s="4" t="s">
        <v>1129</v>
      </c>
      <c r="I242" s="4" t="s">
        <v>1130</v>
      </c>
      <c r="J242" s="4" t="s">
        <v>1131</v>
      </c>
      <c r="K242" s="4" t="s">
        <v>1132</v>
      </c>
      <c r="L242" s="6" t="s">
        <v>165</v>
      </c>
    </row>
    <row r="243" spans="1:12" ht="72" customHeight="1">
      <c r="A243" s="4" t="s">
        <v>1133</v>
      </c>
      <c r="B243" s="4" t="s">
        <v>1127</v>
      </c>
      <c r="C243" s="4" t="s">
        <v>1134</v>
      </c>
      <c r="D243" s="4" t="s">
        <v>42</v>
      </c>
      <c r="E243" s="4" t="s">
        <v>33</v>
      </c>
      <c r="F243" s="4" t="s">
        <v>33</v>
      </c>
      <c r="G243" s="4" t="s">
        <v>1129</v>
      </c>
      <c r="H243" s="4" t="s">
        <v>1129</v>
      </c>
      <c r="I243" s="4" t="s">
        <v>1130</v>
      </c>
      <c r="J243" s="4" t="s">
        <v>1135</v>
      </c>
      <c r="K243" s="4" t="s">
        <v>1132</v>
      </c>
      <c r="L243" s="6" t="s">
        <v>165</v>
      </c>
    </row>
    <row r="244" spans="1:12" ht="72" customHeight="1">
      <c r="A244" s="4" t="s">
        <v>1136</v>
      </c>
      <c r="B244" s="4" t="s">
        <v>1137</v>
      </c>
      <c r="C244" s="4" t="s">
        <v>1138</v>
      </c>
      <c r="D244" s="4" t="s">
        <v>42</v>
      </c>
      <c r="E244" s="4" t="s">
        <v>33</v>
      </c>
      <c r="F244" s="4" t="s">
        <v>33</v>
      </c>
      <c r="G244" s="4" t="s">
        <v>1129</v>
      </c>
      <c r="H244" s="4" t="s">
        <v>1129</v>
      </c>
      <c r="I244" s="4" t="s">
        <v>1130</v>
      </c>
      <c r="J244" s="4" t="s">
        <v>1139</v>
      </c>
      <c r="K244" s="4" t="s">
        <v>1140</v>
      </c>
      <c r="L244" s="6" t="s">
        <v>1045</v>
      </c>
    </row>
    <row r="245" spans="1:12" ht="72" customHeight="1">
      <c r="A245" s="4" t="s">
        <v>1141</v>
      </c>
      <c r="B245" s="4" t="s">
        <v>1137</v>
      </c>
      <c r="C245" s="4" t="s">
        <v>1142</v>
      </c>
      <c r="D245" s="4" t="s">
        <v>42</v>
      </c>
      <c r="E245" s="4" t="s">
        <v>33</v>
      </c>
      <c r="F245" s="4" t="s">
        <v>33</v>
      </c>
      <c r="G245" s="4" t="s">
        <v>1129</v>
      </c>
      <c r="H245" s="4" t="s">
        <v>1129</v>
      </c>
      <c r="I245" s="4" t="s">
        <v>1130</v>
      </c>
      <c r="J245" s="4" t="s">
        <v>1143</v>
      </c>
      <c r="K245" s="4" t="s">
        <v>1140</v>
      </c>
      <c r="L245" s="6" t="s">
        <v>518</v>
      </c>
    </row>
    <row r="246" spans="1:12" ht="72" customHeight="1">
      <c r="A246" s="4" t="s">
        <v>1144</v>
      </c>
      <c r="B246" s="4" t="s">
        <v>1137</v>
      </c>
      <c r="C246" s="4" t="s">
        <v>1145</v>
      </c>
      <c r="D246" s="4" t="s">
        <v>42</v>
      </c>
      <c r="E246" s="4" t="s">
        <v>33</v>
      </c>
      <c r="F246" s="4" t="s">
        <v>33</v>
      </c>
      <c r="G246" s="4" t="s">
        <v>1129</v>
      </c>
      <c r="H246" s="4" t="s">
        <v>1129</v>
      </c>
      <c r="I246" s="4" t="s">
        <v>1130</v>
      </c>
      <c r="J246" s="4" t="s">
        <v>1146</v>
      </c>
      <c r="K246" s="4" t="s">
        <v>1140</v>
      </c>
      <c r="L246" s="6" t="s">
        <v>311</v>
      </c>
    </row>
    <row r="247" spans="1:12" ht="72" customHeight="1">
      <c r="A247" s="4" t="s">
        <v>1147</v>
      </c>
      <c r="B247" s="4" t="s">
        <v>1148</v>
      </c>
      <c r="C247" s="4" t="s">
        <v>1149</v>
      </c>
      <c r="D247" s="4" t="s">
        <v>42</v>
      </c>
      <c r="E247" s="4" t="s">
        <v>33</v>
      </c>
      <c r="F247" s="4" t="s">
        <v>33</v>
      </c>
      <c r="G247" s="4" t="s">
        <v>1150</v>
      </c>
      <c r="H247" s="4" t="s">
        <v>1150</v>
      </c>
      <c r="I247" s="4" t="s">
        <v>1151</v>
      </c>
      <c r="J247" s="4" t="s">
        <v>1152</v>
      </c>
      <c r="K247" s="4" t="s">
        <v>1153</v>
      </c>
      <c r="L247" s="6" t="s">
        <v>39</v>
      </c>
    </row>
    <row r="248" spans="1:12" ht="72" customHeight="1">
      <c r="A248" s="4" t="s">
        <v>1154</v>
      </c>
      <c r="B248" s="4" t="s">
        <v>1148</v>
      </c>
      <c r="C248" s="4" t="s">
        <v>1155</v>
      </c>
      <c r="D248" s="4" t="s">
        <v>42</v>
      </c>
      <c r="E248" s="4" t="s">
        <v>33</v>
      </c>
      <c r="F248" s="4" t="s">
        <v>33</v>
      </c>
      <c r="G248" s="4" t="s">
        <v>1150</v>
      </c>
      <c r="H248" s="4" t="s">
        <v>1150</v>
      </c>
      <c r="I248" s="4" t="s">
        <v>1151</v>
      </c>
      <c r="J248" s="4" t="s">
        <v>1156</v>
      </c>
      <c r="K248" s="4" t="s">
        <v>1157</v>
      </c>
      <c r="L248" s="6" t="s">
        <v>165</v>
      </c>
    </row>
    <row r="249" spans="1:12" ht="72" customHeight="1">
      <c r="A249" s="4" t="s">
        <v>1158</v>
      </c>
      <c r="B249" s="4" t="s">
        <v>1159</v>
      </c>
      <c r="C249" s="4" t="s">
        <v>1160</v>
      </c>
      <c r="D249" s="4" t="s">
        <v>42</v>
      </c>
      <c r="E249" s="4" t="s">
        <v>33</v>
      </c>
      <c r="F249" s="4" t="s">
        <v>33</v>
      </c>
      <c r="G249" s="4" t="s">
        <v>1161</v>
      </c>
      <c r="H249" s="4" t="s">
        <v>1161</v>
      </c>
      <c r="I249" s="4" t="s">
        <v>1162</v>
      </c>
      <c r="J249" s="4" t="s">
        <v>1163</v>
      </c>
      <c r="K249" s="4" t="s">
        <v>1164</v>
      </c>
      <c r="L249" s="6" t="s">
        <v>518</v>
      </c>
    </row>
    <row r="250" spans="1:12" ht="72" customHeight="1">
      <c r="A250" s="4" t="s">
        <v>1165</v>
      </c>
      <c r="B250" s="4" t="s">
        <v>1159</v>
      </c>
      <c r="C250" s="4" t="s">
        <v>1166</v>
      </c>
      <c r="D250" s="4" t="s">
        <v>42</v>
      </c>
      <c r="E250" s="4" t="s">
        <v>33</v>
      </c>
      <c r="F250" s="4" t="s">
        <v>33</v>
      </c>
      <c r="G250" s="4" t="s">
        <v>1161</v>
      </c>
      <c r="H250" s="4" t="s">
        <v>1161</v>
      </c>
      <c r="I250" s="4" t="s">
        <v>1162</v>
      </c>
      <c r="J250" s="4" t="s">
        <v>1167</v>
      </c>
      <c r="K250" s="4" t="s">
        <v>1164</v>
      </c>
      <c r="L250" s="6" t="s">
        <v>165</v>
      </c>
    </row>
    <row r="251" spans="1:12" ht="72" customHeight="1">
      <c r="A251" s="4" t="s">
        <v>1168</v>
      </c>
      <c r="B251" s="4" t="s">
        <v>1159</v>
      </c>
      <c r="C251" s="4" t="s">
        <v>1169</v>
      </c>
      <c r="D251" s="4" t="s">
        <v>42</v>
      </c>
      <c r="E251" s="4" t="s">
        <v>33</v>
      </c>
      <c r="F251" s="4" t="s">
        <v>33</v>
      </c>
      <c r="G251" s="4" t="s">
        <v>1161</v>
      </c>
      <c r="H251" s="4" t="s">
        <v>1161</v>
      </c>
      <c r="I251" s="4" t="s">
        <v>1162</v>
      </c>
      <c r="J251" s="4" t="s">
        <v>1170</v>
      </c>
      <c r="K251" s="4" t="s">
        <v>1171</v>
      </c>
      <c r="L251" s="6" t="s">
        <v>81</v>
      </c>
    </row>
    <row r="252" spans="1:12" ht="72" customHeight="1">
      <c r="A252" s="4" t="s">
        <v>1172</v>
      </c>
      <c r="B252" s="4" t="s">
        <v>1173</v>
      </c>
      <c r="C252" s="4" t="s">
        <v>1174</v>
      </c>
      <c r="D252" s="4" t="s">
        <v>42</v>
      </c>
      <c r="E252" s="4" t="s">
        <v>33</v>
      </c>
      <c r="F252" s="4" t="s">
        <v>33</v>
      </c>
      <c r="G252" s="4" t="s">
        <v>1175</v>
      </c>
      <c r="H252" s="4" t="s">
        <v>1175</v>
      </c>
      <c r="I252" s="4" t="s">
        <v>1176</v>
      </c>
      <c r="J252" s="4" t="s">
        <v>1177</v>
      </c>
      <c r="K252" s="4" t="s">
        <v>1178</v>
      </c>
      <c r="L252" s="6" t="s">
        <v>39</v>
      </c>
    </row>
    <row r="253" spans="1:12" ht="72" customHeight="1">
      <c r="A253" s="4" t="s">
        <v>1179</v>
      </c>
      <c r="B253" s="4" t="s">
        <v>1173</v>
      </c>
      <c r="C253" s="4" t="s">
        <v>1180</v>
      </c>
      <c r="D253" s="4" t="s">
        <v>42</v>
      </c>
      <c r="E253" s="4" t="s">
        <v>33</v>
      </c>
      <c r="F253" s="4" t="s">
        <v>33</v>
      </c>
      <c r="G253" s="4" t="s">
        <v>1175</v>
      </c>
      <c r="H253" s="4" t="s">
        <v>1175</v>
      </c>
      <c r="I253" s="4" t="s">
        <v>1176</v>
      </c>
      <c r="J253" s="4" t="s">
        <v>1181</v>
      </c>
      <c r="K253" s="4" t="s">
        <v>1182</v>
      </c>
      <c r="L253" s="6" t="s">
        <v>153</v>
      </c>
    </row>
    <row r="254" spans="1:12" ht="72" customHeight="1">
      <c r="A254" s="4" t="s">
        <v>1183</v>
      </c>
      <c r="B254" s="4" t="s">
        <v>1173</v>
      </c>
      <c r="C254" s="4" t="s">
        <v>1184</v>
      </c>
      <c r="D254" s="4" t="s">
        <v>42</v>
      </c>
      <c r="E254" s="4" t="s">
        <v>33</v>
      </c>
      <c r="F254" s="4" t="s">
        <v>33</v>
      </c>
      <c r="G254" s="4" t="s">
        <v>1175</v>
      </c>
      <c r="H254" s="4" t="s">
        <v>1175</v>
      </c>
      <c r="I254" s="4" t="s">
        <v>1176</v>
      </c>
      <c r="J254" s="4" t="s">
        <v>1185</v>
      </c>
      <c r="K254" s="4" t="s">
        <v>1178</v>
      </c>
      <c r="L254" s="6" t="s">
        <v>165</v>
      </c>
    </row>
    <row r="255" spans="1:12" ht="72" customHeight="1">
      <c r="A255" s="4" t="s">
        <v>1186</v>
      </c>
      <c r="B255" s="4" t="s">
        <v>1173</v>
      </c>
      <c r="C255" s="4" t="s">
        <v>1187</v>
      </c>
      <c r="D255" s="4" t="s">
        <v>42</v>
      </c>
      <c r="E255" s="4" t="s">
        <v>33</v>
      </c>
      <c r="F255" s="4" t="s">
        <v>33</v>
      </c>
      <c r="G255" s="4" t="s">
        <v>1175</v>
      </c>
      <c r="H255" s="4" t="s">
        <v>1175</v>
      </c>
      <c r="I255" s="4" t="s">
        <v>1176</v>
      </c>
      <c r="J255" s="4" t="s">
        <v>1188</v>
      </c>
      <c r="K255" s="4" t="s">
        <v>1189</v>
      </c>
      <c r="L255" s="6" t="s">
        <v>81</v>
      </c>
    </row>
    <row r="256" spans="1:12" ht="72" customHeight="1">
      <c r="A256" s="4" t="s">
        <v>1190</v>
      </c>
      <c r="B256" s="4" t="s">
        <v>1191</v>
      </c>
      <c r="C256" s="4" t="s">
        <v>1192</v>
      </c>
      <c r="D256" s="4" t="s">
        <v>42</v>
      </c>
      <c r="E256" s="4" t="s">
        <v>33</v>
      </c>
      <c r="F256" s="4" t="s">
        <v>33</v>
      </c>
      <c r="G256" s="4" t="s">
        <v>1193</v>
      </c>
      <c r="H256" s="4" t="s">
        <v>1193</v>
      </c>
      <c r="I256" s="4" t="s">
        <v>1194</v>
      </c>
      <c r="J256" s="4" t="s">
        <v>1195</v>
      </c>
      <c r="K256" s="4" t="s">
        <v>1196</v>
      </c>
      <c r="L256" s="6" t="s">
        <v>518</v>
      </c>
    </row>
    <row r="257" spans="1:12" ht="72" customHeight="1">
      <c r="A257" s="4" t="s">
        <v>1197</v>
      </c>
      <c r="B257" s="4" t="s">
        <v>1191</v>
      </c>
      <c r="C257" s="4" t="s">
        <v>1198</v>
      </c>
      <c r="D257" s="4" t="s">
        <v>42</v>
      </c>
      <c r="E257" s="4" t="s">
        <v>33</v>
      </c>
      <c r="F257" s="4" t="s">
        <v>33</v>
      </c>
      <c r="G257" s="4" t="s">
        <v>1193</v>
      </c>
      <c r="H257" s="4" t="s">
        <v>1193</v>
      </c>
      <c r="I257" s="4" t="s">
        <v>1194</v>
      </c>
      <c r="J257" s="4" t="s">
        <v>1199</v>
      </c>
      <c r="K257" s="4" t="s">
        <v>1200</v>
      </c>
      <c r="L257" s="6" t="s">
        <v>88</v>
      </c>
    </row>
    <row r="258" spans="1:12" ht="72" customHeight="1">
      <c r="A258" s="4" t="s">
        <v>1201</v>
      </c>
      <c r="B258" s="4" t="s">
        <v>1191</v>
      </c>
      <c r="C258" s="4" t="s">
        <v>1202</v>
      </c>
      <c r="D258" s="4" t="s">
        <v>42</v>
      </c>
      <c r="E258" s="4" t="s">
        <v>33</v>
      </c>
      <c r="F258" s="4" t="s">
        <v>33</v>
      </c>
      <c r="G258" s="4" t="s">
        <v>1193</v>
      </c>
      <c r="H258" s="4" t="s">
        <v>1193</v>
      </c>
      <c r="I258" s="4" t="s">
        <v>1194</v>
      </c>
      <c r="J258" s="4" t="s">
        <v>1203</v>
      </c>
      <c r="K258" s="4" t="s">
        <v>1200</v>
      </c>
      <c r="L258" s="6" t="s">
        <v>311</v>
      </c>
    </row>
    <row r="259" spans="1:12" ht="72" customHeight="1">
      <c r="A259" s="4" t="s">
        <v>1204</v>
      </c>
      <c r="B259" s="4" t="s">
        <v>1205</v>
      </c>
      <c r="C259" s="4" t="s">
        <v>1206</v>
      </c>
      <c r="D259" s="4" t="s">
        <v>42</v>
      </c>
      <c r="E259" s="4" t="s">
        <v>33</v>
      </c>
      <c r="F259" s="4" t="s">
        <v>33</v>
      </c>
      <c r="G259" s="4" t="s">
        <v>1207</v>
      </c>
      <c r="H259" s="4" t="s">
        <v>1207</v>
      </c>
      <c r="I259" s="4" t="s">
        <v>1208</v>
      </c>
      <c r="J259" s="4" t="s">
        <v>1209</v>
      </c>
      <c r="K259" s="4" t="s">
        <v>1210</v>
      </c>
      <c r="L259" s="6" t="s">
        <v>39</v>
      </c>
    </row>
    <row r="260" spans="1:12" ht="72" customHeight="1">
      <c r="A260" s="4" t="s">
        <v>1211</v>
      </c>
      <c r="B260" s="4" t="s">
        <v>1205</v>
      </c>
      <c r="C260" s="4" t="s">
        <v>1212</v>
      </c>
      <c r="D260" s="4" t="s">
        <v>42</v>
      </c>
      <c r="E260" s="4" t="s">
        <v>33</v>
      </c>
      <c r="F260" s="4" t="s">
        <v>33</v>
      </c>
      <c r="G260" s="4" t="s">
        <v>1207</v>
      </c>
      <c r="H260" s="4" t="s">
        <v>1207</v>
      </c>
      <c r="I260" s="4" t="s">
        <v>1208</v>
      </c>
      <c r="J260" s="4" t="s">
        <v>1213</v>
      </c>
      <c r="K260" s="4" t="s">
        <v>1214</v>
      </c>
      <c r="L260" s="6" t="s">
        <v>141</v>
      </c>
    </row>
    <row r="261" spans="1:12" ht="72" customHeight="1">
      <c r="A261" s="4" t="s">
        <v>1215</v>
      </c>
      <c r="B261" s="4" t="s">
        <v>1205</v>
      </c>
      <c r="C261" s="4" t="s">
        <v>1216</v>
      </c>
      <c r="D261" s="4" t="s">
        <v>42</v>
      </c>
      <c r="E261" s="4" t="s">
        <v>33</v>
      </c>
      <c r="F261" s="4" t="s">
        <v>33</v>
      </c>
      <c r="G261" s="4" t="s">
        <v>1207</v>
      </c>
      <c r="H261" s="4" t="s">
        <v>1207</v>
      </c>
      <c r="I261" s="4" t="s">
        <v>1208</v>
      </c>
      <c r="J261" s="4" t="s">
        <v>1217</v>
      </c>
      <c r="K261" s="4" t="s">
        <v>1210</v>
      </c>
      <c r="L261" s="6" t="s">
        <v>88</v>
      </c>
    </row>
    <row r="262" spans="1:12" ht="72" customHeight="1">
      <c r="A262" s="4" t="s">
        <v>1218</v>
      </c>
      <c r="B262" s="4" t="s">
        <v>1205</v>
      </c>
      <c r="C262" s="4" t="s">
        <v>1219</v>
      </c>
      <c r="D262" s="4" t="s">
        <v>42</v>
      </c>
      <c r="E262" s="4" t="s">
        <v>33</v>
      </c>
      <c r="F262" s="4" t="s">
        <v>33</v>
      </c>
      <c r="G262" s="4" t="s">
        <v>1207</v>
      </c>
      <c r="H262" s="4" t="s">
        <v>1207</v>
      </c>
      <c r="I262" s="4" t="s">
        <v>1208</v>
      </c>
      <c r="J262" s="4" t="s">
        <v>1220</v>
      </c>
      <c r="K262" s="4" t="s">
        <v>1221</v>
      </c>
      <c r="L262" s="6" t="s">
        <v>518</v>
      </c>
    </row>
    <row r="263" spans="1:12" ht="72" customHeight="1">
      <c r="A263" s="4" t="s">
        <v>1222</v>
      </c>
      <c r="B263" s="4" t="s">
        <v>1205</v>
      </c>
      <c r="C263" s="4" t="s">
        <v>1223</v>
      </c>
      <c r="D263" s="4" t="s">
        <v>42</v>
      </c>
      <c r="E263" s="4" t="s">
        <v>33</v>
      </c>
      <c r="F263" s="4" t="s">
        <v>33</v>
      </c>
      <c r="G263" s="4" t="s">
        <v>1207</v>
      </c>
      <c r="H263" s="4" t="s">
        <v>1207</v>
      </c>
      <c r="I263" s="4" t="s">
        <v>1208</v>
      </c>
      <c r="J263" s="4" t="s">
        <v>1224</v>
      </c>
      <c r="K263" s="4" t="s">
        <v>1225</v>
      </c>
      <c r="L263" s="6" t="s">
        <v>95</v>
      </c>
    </row>
    <row r="264" spans="1:12" ht="72" customHeight="1">
      <c r="A264" s="4" t="s">
        <v>1226</v>
      </c>
      <c r="B264" s="4" t="s">
        <v>1205</v>
      </c>
      <c r="C264" s="4" t="s">
        <v>1227</v>
      </c>
      <c r="D264" s="4" t="s">
        <v>42</v>
      </c>
      <c r="E264" s="4" t="s">
        <v>33</v>
      </c>
      <c r="F264" s="4" t="s">
        <v>33</v>
      </c>
      <c r="G264" s="4" t="s">
        <v>1207</v>
      </c>
      <c r="H264" s="4" t="s">
        <v>1207</v>
      </c>
      <c r="I264" s="4" t="s">
        <v>1208</v>
      </c>
      <c r="J264" s="4" t="s">
        <v>1228</v>
      </c>
      <c r="K264" s="4" t="s">
        <v>1229</v>
      </c>
      <c r="L264" s="6" t="s">
        <v>518</v>
      </c>
    </row>
    <row r="265" spans="1:12" ht="72" customHeight="1">
      <c r="A265" s="4" t="s">
        <v>1230</v>
      </c>
      <c r="B265" s="4" t="s">
        <v>1205</v>
      </c>
      <c r="C265" s="4" t="s">
        <v>1231</v>
      </c>
      <c r="D265" s="4" t="s">
        <v>42</v>
      </c>
      <c r="E265" s="4" t="s">
        <v>33</v>
      </c>
      <c r="F265" s="4" t="s">
        <v>33</v>
      </c>
      <c r="G265" s="4" t="s">
        <v>1207</v>
      </c>
      <c r="H265" s="4" t="s">
        <v>1207</v>
      </c>
      <c r="I265" s="4" t="s">
        <v>1208</v>
      </c>
      <c r="J265" s="4" t="s">
        <v>1232</v>
      </c>
      <c r="K265" s="4" t="s">
        <v>1233</v>
      </c>
      <c r="L265" s="6" t="s">
        <v>88</v>
      </c>
    </row>
    <row r="266" spans="1:12" ht="72" customHeight="1">
      <c r="A266" s="4" t="s">
        <v>1234</v>
      </c>
      <c r="B266" s="4" t="s">
        <v>1205</v>
      </c>
      <c r="C266" s="4" t="s">
        <v>1235</v>
      </c>
      <c r="D266" s="4" t="s">
        <v>42</v>
      </c>
      <c r="E266" s="4" t="s">
        <v>33</v>
      </c>
      <c r="F266" s="4" t="s">
        <v>33</v>
      </c>
      <c r="G266" s="4" t="s">
        <v>1207</v>
      </c>
      <c r="H266" s="4" t="s">
        <v>1207</v>
      </c>
      <c r="I266" s="4" t="s">
        <v>1208</v>
      </c>
      <c r="J266" s="4" t="s">
        <v>1236</v>
      </c>
      <c r="K266" s="4" t="s">
        <v>1237</v>
      </c>
      <c r="L266" s="6" t="s">
        <v>159</v>
      </c>
    </row>
    <row r="267" spans="1:12" ht="72" customHeight="1">
      <c r="A267" s="4" t="s">
        <v>1238</v>
      </c>
      <c r="B267" s="4" t="s">
        <v>1205</v>
      </c>
      <c r="C267" s="4" t="s">
        <v>1239</v>
      </c>
      <c r="D267" s="4" t="s">
        <v>42</v>
      </c>
      <c r="E267" s="4" t="s">
        <v>33</v>
      </c>
      <c r="F267" s="4" t="s">
        <v>33</v>
      </c>
      <c r="G267" s="4" t="s">
        <v>1207</v>
      </c>
      <c r="H267" s="4" t="s">
        <v>1207</v>
      </c>
      <c r="I267" s="4" t="s">
        <v>1208</v>
      </c>
      <c r="J267" s="4" t="s">
        <v>1240</v>
      </c>
      <c r="K267" s="4" t="s">
        <v>1233</v>
      </c>
      <c r="L267" s="6" t="s">
        <v>103</v>
      </c>
    </row>
    <row r="268" spans="1:12" ht="72" customHeight="1">
      <c r="A268" s="4" t="s">
        <v>1241</v>
      </c>
      <c r="B268" s="4" t="s">
        <v>1242</v>
      </c>
      <c r="C268" s="4" t="s">
        <v>1243</v>
      </c>
      <c r="D268" s="4" t="s">
        <v>42</v>
      </c>
      <c r="E268" s="4" t="s">
        <v>33</v>
      </c>
      <c r="F268" s="4" t="s">
        <v>33</v>
      </c>
      <c r="G268" s="4" t="s">
        <v>1244</v>
      </c>
      <c r="H268" s="4" t="s">
        <v>1245</v>
      </c>
      <c r="I268" s="4" t="s">
        <v>1246</v>
      </c>
      <c r="J268" s="4" t="s">
        <v>1247</v>
      </c>
      <c r="K268" s="4" t="s">
        <v>1248</v>
      </c>
      <c r="L268" s="6" t="s">
        <v>147</v>
      </c>
    </row>
    <row r="269" spans="1:12" ht="72" customHeight="1">
      <c r="A269" s="4" t="s">
        <v>1249</v>
      </c>
      <c r="B269" s="4" t="s">
        <v>1242</v>
      </c>
      <c r="C269" s="4" t="s">
        <v>1250</v>
      </c>
      <c r="D269" s="4" t="s">
        <v>42</v>
      </c>
      <c r="E269" s="4" t="s">
        <v>33</v>
      </c>
      <c r="F269" s="4" t="s">
        <v>33</v>
      </c>
      <c r="G269" s="4" t="s">
        <v>1244</v>
      </c>
      <c r="H269" s="4" t="s">
        <v>1245</v>
      </c>
      <c r="I269" s="4" t="s">
        <v>1246</v>
      </c>
      <c r="J269" s="4" t="s">
        <v>1251</v>
      </c>
      <c r="K269" s="4" t="s">
        <v>1248</v>
      </c>
      <c r="L269" s="6" t="s">
        <v>165</v>
      </c>
    </row>
    <row r="270" spans="1:12" ht="72" customHeight="1">
      <c r="A270" s="4" t="s">
        <v>1252</v>
      </c>
      <c r="B270" s="4" t="s">
        <v>1242</v>
      </c>
      <c r="C270" s="4" t="s">
        <v>1253</v>
      </c>
      <c r="D270" s="4" t="s">
        <v>42</v>
      </c>
      <c r="E270" s="4" t="s">
        <v>33</v>
      </c>
      <c r="F270" s="4" t="s">
        <v>33</v>
      </c>
      <c r="G270" s="4" t="s">
        <v>1244</v>
      </c>
      <c r="H270" s="4" t="s">
        <v>1245</v>
      </c>
      <c r="I270" s="4" t="s">
        <v>1246</v>
      </c>
      <c r="J270" s="4" t="s">
        <v>1254</v>
      </c>
      <c r="K270" s="4" t="s">
        <v>1255</v>
      </c>
      <c r="L270" s="6" t="s">
        <v>110</v>
      </c>
    </row>
    <row r="271" spans="1:12" ht="72" customHeight="1">
      <c r="A271" s="4" t="s">
        <v>1256</v>
      </c>
      <c r="B271" s="4" t="s">
        <v>1257</v>
      </c>
      <c r="C271" s="4" t="s">
        <v>1258</v>
      </c>
      <c r="D271" s="4" t="s">
        <v>42</v>
      </c>
      <c r="E271" s="4" t="s">
        <v>33</v>
      </c>
      <c r="F271" s="4" t="s">
        <v>33</v>
      </c>
      <c r="G271" s="4" t="s">
        <v>1259</v>
      </c>
      <c r="H271" s="4" t="s">
        <v>1260</v>
      </c>
      <c r="I271" s="4" t="s">
        <v>1261</v>
      </c>
      <c r="J271" s="4" t="s">
        <v>1262</v>
      </c>
      <c r="K271" s="4" t="s">
        <v>1263</v>
      </c>
      <c r="L271" s="6" t="s">
        <v>518</v>
      </c>
    </row>
    <row r="272" spans="1:12" ht="72" customHeight="1">
      <c r="A272" s="4" t="s">
        <v>1264</v>
      </c>
      <c r="B272" s="4" t="s">
        <v>1257</v>
      </c>
      <c r="C272" s="4" t="s">
        <v>1265</v>
      </c>
      <c r="D272" s="4" t="s">
        <v>42</v>
      </c>
      <c r="E272" s="4" t="s">
        <v>33</v>
      </c>
      <c r="F272" s="4" t="s">
        <v>33</v>
      </c>
      <c r="G272" s="4" t="s">
        <v>1259</v>
      </c>
      <c r="H272" s="4" t="s">
        <v>1260</v>
      </c>
      <c r="I272" s="4" t="s">
        <v>1261</v>
      </c>
      <c r="J272" s="4" t="s">
        <v>1266</v>
      </c>
      <c r="K272" s="4" t="s">
        <v>1267</v>
      </c>
      <c r="L272" s="6" t="s">
        <v>518</v>
      </c>
    </row>
    <row r="273" spans="1:12" ht="72" customHeight="1">
      <c r="A273" s="4" t="s">
        <v>1268</v>
      </c>
      <c r="B273" s="4" t="s">
        <v>1257</v>
      </c>
      <c r="C273" s="4" t="s">
        <v>1269</v>
      </c>
      <c r="D273" s="4" t="s">
        <v>42</v>
      </c>
      <c r="E273" s="4" t="s">
        <v>33</v>
      </c>
      <c r="F273" s="4" t="s">
        <v>33</v>
      </c>
      <c r="G273" s="4" t="s">
        <v>1259</v>
      </c>
      <c r="H273" s="4" t="s">
        <v>1260</v>
      </c>
      <c r="I273" s="4" t="s">
        <v>1261</v>
      </c>
      <c r="J273" s="4" t="s">
        <v>1270</v>
      </c>
      <c r="K273" s="4" t="s">
        <v>1271</v>
      </c>
      <c r="L273" s="6" t="s">
        <v>518</v>
      </c>
    </row>
    <row r="274" spans="1:12" ht="72" customHeight="1">
      <c r="A274" s="4" t="s">
        <v>1272</v>
      </c>
      <c r="B274" s="4" t="s">
        <v>1257</v>
      </c>
      <c r="C274" s="4" t="s">
        <v>1273</v>
      </c>
      <c r="D274" s="4" t="s">
        <v>42</v>
      </c>
      <c r="E274" s="4" t="s">
        <v>33</v>
      </c>
      <c r="F274" s="4" t="s">
        <v>33</v>
      </c>
      <c r="G274" s="4" t="s">
        <v>1259</v>
      </c>
      <c r="H274" s="4" t="s">
        <v>1260</v>
      </c>
      <c r="I274" s="4" t="s">
        <v>1261</v>
      </c>
      <c r="J274" s="4" t="s">
        <v>1274</v>
      </c>
      <c r="K274" s="4" t="s">
        <v>1275</v>
      </c>
      <c r="L274" s="6" t="s">
        <v>307</v>
      </c>
    </row>
    <row r="275" spans="1:12" ht="72" customHeight="1">
      <c r="A275" s="4" t="s">
        <v>1276</v>
      </c>
      <c r="B275" s="4" t="s">
        <v>1277</v>
      </c>
      <c r="C275" s="4" t="s">
        <v>1278</v>
      </c>
      <c r="D275" s="4" t="s">
        <v>42</v>
      </c>
      <c r="E275" s="4" t="s">
        <v>33</v>
      </c>
      <c r="F275" s="4" t="s">
        <v>33</v>
      </c>
      <c r="G275" s="4" t="s">
        <v>1279</v>
      </c>
      <c r="H275" s="4" t="s">
        <v>1280</v>
      </c>
      <c r="I275" s="4" t="s">
        <v>1281</v>
      </c>
      <c r="J275" s="4" t="s">
        <v>1282</v>
      </c>
      <c r="K275" s="4" t="s">
        <v>1283</v>
      </c>
      <c r="L275" s="6" t="s">
        <v>39</v>
      </c>
    </row>
    <row r="276" spans="1:12" ht="72" customHeight="1">
      <c r="A276" s="4" t="s">
        <v>1284</v>
      </c>
      <c r="B276" s="4" t="s">
        <v>1277</v>
      </c>
      <c r="C276" s="4" t="s">
        <v>1285</v>
      </c>
      <c r="D276" s="4" t="s">
        <v>42</v>
      </c>
      <c r="E276" s="4" t="s">
        <v>33</v>
      </c>
      <c r="F276" s="4" t="s">
        <v>33</v>
      </c>
      <c r="G276" s="4" t="s">
        <v>1279</v>
      </c>
      <c r="H276" s="4" t="s">
        <v>1280</v>
      </c>
      <c r="I276" s="4" t="s">
        <v>1281</v>
      </c>
      <c r="J276" s="4" t="s">
        <v>1286</v>
      </c>
      <c r="K276" s="4" t="s">
        <v>1287</v>
      </c>
      <c r="L276" s="6" t="s">
        <v>95</v>
      </c>
    </row>
    <row r="277" spans="1:12" ht="72" customHeight="1">
      <c r="A277" s="4" t="s">
        <v>1288</v>
      </c>
      <c r="B277" s="4" t="s">
        <v>1277</v>
      </c>
      <c r="C277" s="4" t="s">
        <v>261</v>
      </c>
      <c r="D277" s="4" t="s">
        <v>42</v>
      </c>
      <c r="E277" s="4" t="s">
        <v>33</v>
      </c>
      <c r="F277" s="4" t="s">
        <v>33</v>
      </c>
      <c r="G277" s="4" t="s">
        <v>1279</v>
      </c>
      <c r="H277" s="4" t="s">
        <v>1280</v>
      </c>
      <c r="I277" s="4" t="s">
        <v>1281</v>
      </c>
      <c r="J277" s="4" t="s">
        <v>1289</v>
      </c>
      <c r="K277" s="4" t="s">
        <v>1290</v>
      </c>
      <c r="L277" s="6" t="s">
        <v>165</v>
      </c>
    </row>
    <row r="278" spans="1:12" ht="72" customHeight="1">
      <c r="A278" s="4" t="s">
        <v>1291</v>
      </c>
      <c r="B278" s="4" t="s">
        <v>1277</v>
      </c>
      <c r="C278" s="4" t="s">
        <v>1292</v>
      </c>
      <c r="D278" s="4" t="s">
        <v>42</v>
      </c>
      <c r="E278" s="4" t="s">
        <v>33</v>
      </c>
      <c r="F278" s="4" t="s">
        <v>33</v>
      </c>
      <c r="G278" s="4" t="s">
        <v>1279</v>
      </c>
      <c r="H278" s="4" t="s">
        <v>1280</v>
      </c>
      <c r="I278" s="4" t="s">
        <v>1281</v>
      </c>
      <c r="J278" s="4" t="s">
        <v>1293</v>
      </c>
      <c r="K278" s="4" t="s">
        <v>1290</v>
      </c>
      <c r="L278" s="6" t="s">
        <v>88</v>
      </c>
    </row>
    <row r="279" spans="1:12" ht="72" customHeight="1">
      <c r="A279" s="4" t="s">
        <v>1294</v>
      </c>
      <c r="B279" s="4" t="s">
        <v>1277</v>
      </c>
      <c r="C279" s="4" t="s">
        <v>1295</v>
      </c>
      <c r="D279" s="4" t="s">
        <v>42</v>
      </c>
      <c r="E279" s="4" t="s">
        <v>33</v>
      </c>
      <c r="F279" s="4" t="s">
        <v>33</v>
      </c>
      <c r="G279" s="4" t="s">
        <v>1279</v>
      </c>
      <c r="H279" s="4" t="s">
        <v>1280</v>
      </c>
      <c r="I279" s="4" t="s">
        <v>1281</v>
      </c>
      <c r="J279" s="4" t="s">
        <v>1296</v>
      </c>
      <c r="K279" s="4" t="s">
        <v>1290</v>
      </c>
      <c r="L279" s="6" t="s">
        <v>165</v>
      </c>
    </row>
    <row r="280" spans="1:12" ht="72" customHeight="1">
      <c r="A280" s="4" t="s">
        <v>1297</v>
      </c>
      <c r="B280" s="4" t="s">
        <v>1298</v>
      </c>
      <c r="C280" s="4" t="s">
        <v>1299</v>
      </c>
      <c r="D280" s="4" t="s">
        <v>42</v>
      </c>
      <c r="E280" s="4" t="s">
        <v>33</v>
      </c>
      <c r="F280" s="4" t="s">
        <v>33</v>
      </c>
      <c r="G280" s="4" t="s">
        <v>1300</v>
      </c>
      <c r="H280" s="4" t="s">
        <v>1301</v>
      </c>
      <c r="I280" s="4" t="s">
        <v>1302</v>
      </c>
      <c r="J280" s="4" t="s">
        <v>1303</v>
      </c>
      <c r="K280" s="4" t="s">
        <v>1304</v>
      </c>
      <c r="L280" s="6" t="s">
        <v>141</v>
      </c>
    </row>
    <row r="281" spans="1:12" ht="72" customHeight="1">
      <c r="A281" s="4" t="s">
        <v>1305</v>
      </c>
      <c r="B281" s="4" t="s">
        <v>1298</v>
      </c>
      <c r="C281" s="4" t="s">
        <v>1306</v>
      </c>
      <c r="D281" s="4" t="s">
        <v>42</v>
      </c>
      <c r="E281" s="4" t="s">
        <v>33</v>
      </c>
      <c r="F281" s="4" t="s">
        <v>33</v>
      </c>
      <c r="G281" s="4" t="s">
        <v>1300</v>
      </c>
      <c r="H281" s="4" t="s">
        <v>1301</v>
      </c>
      <c r="I281" s="4" t="s">
        <v>1302</v>
      </c>
      <c r="J281" s="4" t="s">
        <v>1307</v>
      </c>
      <c r="K281" s="4" t="s">
        <v>1308</v>
      </c>
      <c r="L281" s="6" t="s">
        <v>95</v>
      </c>
    </row>
    <row r="282" spans="1:12" ht="72" customHeight="1">
      <c r="A282" s="4" t="s">
        <v>1309</v>
      </c>
      <c r="B282" s="4" t="s">
        <v>1298</v>
      </c>
      <c r="C282" s="4" t="s">
        <v>1310</v>
      </c>
      <c r="D282" s="4" t="s">
        <v>42</v>
      </c>
      <c r="E282" s="4" t="s">
        <v>33</v>
      </c>
      <c r="F282" s="4" t="s">
        <v>33</v>
      </c>
      <c r="G282" s="4" t="s">
        <v>1300</v>
      </c>
      <c r="H282" s="4" t="s">
        <v>1301</v>
      </c>
      <c r="I282" s="4" t="s">
        <v>1302</v>
      </c>
      <c r="J282" s="4" t="s">
        <v>1311</v>
      </c>
      <c r="K282" s="4" t="s">
        <v>1312</v>
      </c>
      <c r="L282" s="6" t="s">
        <v>518</v>
      </c>
    </row>
    <row r="283" spans="1:12" ht="72" customHeight="1">
      <c r="A283" s="4" t="s">
        <v>1313</v>
      </c>
      <c r="B283" s="4" t="s">
        <v>1298</v>
      </c>
      <c r="C283" s="4" t="s">
        <v>1314</v>
      </c>
      <c r="D283" s="4" t="s">
        <v>42</v>
      </c>
      <c r="E283" s="4" t="s">
        <v>33</v>
      </c>
      <c r="F283" s="4" t="s">
        <v>33</v>
      </c>
      <c r="G283" s="4" t="s">
        <v>1300</v>
      </c>
      <c r="H283" s="4" t="s">
        <v>1301</v>
      </c>
      <c r="I283" s="4" t="s">
        <v>1302</v>
      </c>
      <c r="J283" s="4" t="s">
        <v>1315</v>
      </c>
      <c r="K283" s="4" t="s">
        <v>1316</v>
      </c>
      <c r="L283" s="6" t="s">
        <v>88</v>
      </c>
    </row>
    <row r="284" spans="1:12" ht="72" customHeight="1">
      <c r="A284" s="4" t="s">
        <v>1317</v>
      </c>
      <c r="B284" s="4" t="s">
        <v>1298</v>
      </c>
      <c r="C284" s="4" t="s">
        <v>1318</v>
      </c>
      <c r="D284" s="4" t="s">
        <v>42</v>
      </c>
      <c r="E284" s="4" t="s">
        <v>33</v>
      </c>
      <c r="F284" s="4" t="s">
        <v>33</v>
      </c>
      <c r="G284" s="4" t="s">
        <v>1300</v>
      </c>
      <c r="H284" s="4" t="s">
        <v>1301</v>
      </c>
      <c r="I284" s="4" t="s">
        <v>1302</v>
      </c>
      <c r="J284" s="4" t="s">
        <v>1319</v>
      </c>
      <c r="K284" s="4" t="s">
        <v>1320</v>
      </c>
      <c r="L284" s="6" t="s">
        <v>116</v>
      </c>
    </row>
    <row r="285" spans="1:12" ht="72" customHeight="1">
      <c r="A285" s="4" t="s">
        <v>1321</v>
      </c>
      <c r="B285" s="4" t="s">
        <v>1298</v>
      </c>
      <c r="C285" s="4" t="s">
        <v>1322</v>
      </c>
      <c r="D285" s="4" t="s">
        <v>42</v>
      </c>
      <c r="E285" s="4" t="s">
        <v>33</v>
      </c>
      <c r="F285" s="4" t="s">
        <v>33</v>
      </c>
      <c r="G285" s="4" t="s">
        <v>1300</v>
      </c>
      <c r="H285" s="4" t="s">
        <v>1301</v>
      </c>
      <c r="I285" s="4" t="s">
        <v>1302</v>
      </c>
      <c r="J285" s="4" t="s">
        <v>1323</v>
      </c>
      <c r="K285" s="4" t="s">
        <v>1316</v>
      </c>
      <c r="L285" s="6" t="s">
        <v>95</v>
      </c>
    </row>
    <row r="286" spans="1:12" ht="72" customHeight="1">
      <c r="A286" s="4" t="s">
        <v>1324</v>
      </c>
      <c r="B286" s="4" t="s">
        <v>1298</v>
      </c>
      <c r="C286" s="4" t="s">
        <v>1325</v>
      </c>
      <c r="D286" s="4" t="s">
        <v>42</v>
      </c>
      <c r="E286" s="4" t="s">
        <v>33</v>
      </c>
      <c r="F286" s="4" t="s">
        <v>33</v>
      </c>
      <c r="G286" s="4" t="s">
        <v>1300</v>
      </c>
      <c r="H286" s="4" t="s">
        <v>1301</v>
      </c>
      <c r="I286" s="4" t="s">
        <v>1302</v>
      </c>
      <c r="J286" s="4" t="s">
        <v>1326</v>
      </c>
      <c r="K286" s="4" t="s">
        <v>1304</v>
      </c>
      <c r="L286" s="6" t="s">
        <v>165</v>
      </c>
    </row>
    <row r="287" spans="1:12" ht="72" customHeight="1">
      <c r="A287" s="4" t="s">
        <v>1327</v>
      </c>
      <c r="B287" s="4" t="s">
        <v>1328</v>
      </c>
      <c r="C287" s="4" t="s">
        <v>1329</v>
      </c>
      <c r="D287" s="4" t="s">
        <v>42</v>
      </c>
      <c r="E287" s="4" t="s">
        <v>33</v>
      </c>
      <c r="F287" s="4" t="s">
        <v>33</v>
      </c>
      <c r="G287" s="4" t="s">
        <v>1330</v>
      </c>
      <c r="H287" s="4" t="s">
        <v>1331</v>
      </c>
      <c r="I287" s="4" t="s">
        <v>1332</v>
      </c>
      <c r="J287" s="4" t="s">
        <v>1333</v>
      </c>
      <c r="K287" s="4" t="s">
        <v>1334</v>
      </c>
      <c r="L287" s="6" t="s">
        <v>147</v>
      </c>
    </row>
    <row r="288" spans="1:12" ht="72" customHeight="1">
      <c r="A288" s="4" t="s">
        <v>1335</v>
      </c>
      <c r="B288" s="4" t="s">
        <v>1328</v>
      </c>
      <c r="C288" s="4" t="s">
        <v>1336</v>
      </c>
      <c r="D288" s="4" t="s">
        <v>42</v>
      </c>
      <c r="E288" s="4" t="s">
        <v>33</v>
      </c>
      <c r="F288" s="4" t="s">
        <v>33</v>
      </c>
      <c r="G288" s="4" t="s">
        <v>1330</v>
      </c>
      <c r="H288" s="4" t="s">
        <v>1331</v>
      </c>
      <c r="I288" s="4" t="s">
        <v>1332</v>
      </c>
      <c r="J288" s="4" t="s">
        <v>1337</v>
      </c>
      <c r="K288" s="4" t="s">
        <v>1338</v>
      </c>
      <c r="L288" s="6" t="s">
        <v>95</v>
      </c>
    </row>
    <row r="289" spans="1:12" ht="72" customHeight="1">
      <c r="A289" s="4" t="s">
        <v>1339</v>
      </c>
      <c r="B289" s="4" t="s">
        <v>1328</v>
      </c>
      <c r="C289" s="4" t="s">
        <v>1340</v>
      </c>
      <c r="D289" s="4" t="s">
        <v>42</v>
      </c>
      <c r="E289" s="4" t="s">
        <v>33</v>
      </c>
      <c r="F289" s="4" t="s">
        <v>33</v>
      </c>
      <c r="G289" s="4" t="s">
        <v>1330</v>
      </c>
      <c r="H289" s="4" t="s">
        <v>1331</v>
      </c>
      <c r="I289" s="4" t="s">
        <v>1332</v>
      </c>
      <c r="J289" s="4" t="s">
        <v>1341</v>
      </c>
      <c r="K289" s="4" t="s">
        <v>1334</v>
      </c>
      <c r="L289" s="6" t="s">
        <v>88</v>
      </c>
    </row>
    <row r="290" spans="1:12" ht="72" customHeight="1">
      <c r="A290" s="4" t="s">
        <v>1342</v>
      </c>
      <c r="B290" s="4" t="s">
        <v>1328</v>
      </c>
      <c r="C290" s="4" t="s">
        <v>1343</v>
      </c>
      <c r="D290" s="4" t="s">
        <v>42</v>
      </c>
      <c r="E290" s="4" t="s">
        <v>33</v>
      </c>
      <c r="F290" s="4" t="s">
        <v>33</v>
      </c>
      <c r="G290" s="4" t="s">
        <v>1330</v>
      </c>
      <c r="H290" s="4" t="s">
        <v>1331</v>
      </c>
      <c r="I290" s="4" t="s">
        <v>1332</v>
      </c>
      <c r="J290" s="4" t="s">
        <v>1344</v>
      </c>
      <c r="K290" s="4" t="s">
        <v>1334</v>
      </c>
      <c r="L290" s="6" t="s">
        <v>110</v>
      </c>
    </row>
    <row r="291" spans="1:12" ht="72" customHeight="1">
      <c r="A291" s="4" t="s">
        <v>1345</v>
      </c>
      <c r="B291" s="4" t="s">
        <v>1346</v>
      </c>
      <c r="C291" s="4" t="s">
        <v>1347</v>
      </c>
      <c r="D291" s="4" t="s">
        <v>42</v>
      </c>
      <c r="E291" s="4" t="s">
        <v>33</v>
      </c>
      <c r="F291" s="4" t="s">
        <v>33</v>
      </c>
      <c r="G291" s="4" t="s">
        <v>1348</v>
      </c>
      <c r="H291" s="4" t="s">
        <v>1348</v>
      </c>
      <c r="I291" s="4" t="s">
        <v>1349</v>
      </c>
      <c r="J291" s="4" t="s">
        <v>1350</v>
      </c>
      <c r="K291" s="4" t="s">
        <v>1351</v>
      </c>
      <c r="L291" s="6" t="s">
        <v>147</v>
      </c>
    </row>
    <row r="292" spans="1:12" ht="72" customHeight="1">
      <c r="A292" s="4" t="s">
        <v>1352</v>
      </c>
      <c r="B292" s="4" t="s">
        <v>1346</v>
      </c>
      <c r="C292" s="4" t="s">
        <v>1353</v>
      </c>
      <c r="D292" s="4" t="s">
        <v>42</v>
      </c>
      <c r="E292" s="4" t="s">
        <v>33</v>
      </c>
      <c r="F292" s="4" t="s">
        <v>33</v>
      </c>
      <c r="G292" s="4" t="s">
        <v>1348</v>
      </c>
      <c r="H292" s="4" t="s">
        <v>1348</v>
      </c>
      <c r="I292" s="4" t="s">
        <v>1349</v>
      </c>
      <c r="J292" s="4" t="s">
        <v>1354</v>
      </c>
      <c r="K292" s="4" t="s">
        <v>1355</v>
      </c>
      <c r="L292" s="6" t="s">
        <v>95</v>
      </c>
    </row>
    <row r="293" spans="1:12" ht="72" customHeight="1">
      <c r="A293" s="4" t="s">
        <v>1356</v>
      </c>
      <c r="B293" s="4" t="s">
        <v>1346</v>
      </c>
      <c r="C293" s="4" t="s">
        <v>1357</v>
      </c>
      <c r="D293" s="4" t="s">
        <v>42</v>
      </c>
      <c r="E293" s="4" t="s">
        <v>33</v>
      </c>
      <c r="F293" s="4" t="s">
        <v>33</v>
      </c>
      <c r="G293" s="4" t="s">
        <v>1348</v>
      </c>
      <c r="H293" s="4" t="s">
        <v>1348</v>
      </c>
      <c r="I293" s="4" t="s">
        <v>1349</v>
      </c>
      <c r="J293" s="4" t="s">
        <v>1358</v>
      </c>
      <c r="K293" s="4" t="s">
        <v>1359</v>
      </c>
      <c r="L293" s="6" t="s">
        <v>165</v>
      </c>
    </row>
    <row r="294" spans="1:12" ht="72" customHeight="1">
      <c r="A294" s="4" t="s">
        <v>1360</v>
      </c>
      <c r="B294" s="4" t="s">
        <v>1346</v>
      </c>
      <c r="C294" s="4" t="s">
        <v>1361</v>
      </c>
      <c r="D294" s="4" t="s">
        <v>42</v>
      </c>
      <c r="E294" s="4" t="s">
        <v>33</v>
      </c>
      <c r="F294" s="4" t="s">
        <v>33</v>
      </c>
      <c r="G294" s="4" t="s">
        <v>1348</v>
      </c>
      <c r="H294" s="4" t="s">
        <v>1348</v>
      </c>
      <c r="I294" s="4" t="s">
        <v>1349</v>
      </c>
      <c r="J294" s="4" t="s">
        <v>1362</v>
      </c>
      <c r="K294" s="4" t="s">
        <v>1359</v>
      </c>
      <c r="L294" s="6" t="s">
        <v>518</v>
      </c>
    </row>
    <row r="295" spans="1:12" ht="72" customHeight="1">
      <c r="A295" s="4" t="s">
        <v>1363</v>
      </c>
      <c r="B295" s="4" t="s">
        <v>1346</v>
      </c>
      <c r="C295" s="4" t="s">
        <v>1364</v>
      </c>
      <c r="D295" s="4" t="s">
        <v>42</v>
      </c>
      <c r="E295" s="4" t="s">
        <v>33</v>
      </c>
      <c r="F295" s="4" t="s">
        <v>33</v>
      </c>
      <c r="G295" s="4" t="s">
        <v>1348</v>
      </c>
      <c r="H295" s="4" t="s">
        <v>1348</v>
      </c>
      <c r="I295" s="4" t="s">
        <v>1349</v>
      </c>
      <c r="J295" s="4" t="s">
        <v>1365</v>
      </c>
      <c r="K295" s="4" t="s">
        <v>1359</v>
      </c>
      <c r="L295" s="6" t="s">
        <v>88</v>
      </c>
    </row>
    <row r="296" spans="1:12" ht="72" customHeight="1">
      <c r="A296" s="4" t="s">
        <v>1366</v>
      </c>
      <c r="B296" s="4" t="s">
        <v>1367</v>
      </c>
      <c r="C296" s="4" t="s">
        <v>1368</v>
      </c>
      <c r="D296" s="4" t="s">
        <v>42</v>
      </c>
      <c r="E296" s="4" t="s">
        <v>33</v>
      </c>
      <c r="F296" s="4" t="s">
        <v>33</v>
      </c>
      <c r="G296" s="4" t="s">
        <v>1369</v>
      </c>
      <c r="H296" s="4" t="s">
        <v>1369</v>
      </c>
      <c r="I296" s="4" t="s">
        <v>1370</v>
      </c>
      <c r="J296" s="4" t="s">
        <v>1371</v>
      </c>
      <c r="K296" s="4" t="s">
        <v>1372</v>
      </c>
      <c r="L296" s="6" t="s">
        <v>165</v>
      </c>
    </row>
    <row r="297" spans="1:12" ht="72" customHeight="1">
      <c r="A297" s="4" t="s">
        <v>1373</v>
      </c>
      <c r="B297" s="4" t="s">
        <v>1367</v>
      </c>
      <c r="C297" s="4" t="s">
        <v>1374</v>
      </c>
      <c r="D297" s="4" t="s">
        <v>42</v>
      </c>
      <c r="E297" s="4" t="s">
        <v>33</v>
      </c>
      <c r="F297" s="4" t="s">
        <v>33</v>
      </c>
      <c r="G297" s="4" t="s">
        <v>1369</v>
      </c>
      <c r="H297" s="4" t="s">
        <v>1369</v>
      </c>
      <c r="I297" s="4" t="s">
        <v>1370</v>
      </c>
      <c r="J297" s="4" t="s">
        <v>1375</v>
      </c>
      <c r="K297" s="4" t="s">
        <v>1372</v>
      </c>
      <c r="L297" s="6" t="s">
        <v>110</v>
      </c>
    </row>
    <row r="298" spans="1:12" ht="72" customHeight="1">
      <c r="A298" s="4" t="s">
        <v>1376</v>
      </c>
      <c r="B298" s="4" t="s">
        <v>1377</v>
      </c>
      <c r="C298" s="4" t="s">
        <v>1378</v>
      </c>
      <c r="D298" s="4" t="s">
        <v>42</v>
      </c>
      <c r="E298" s="4" t="s">
        <v>33</v>
      </c>
      <c r="F298" s="4" t="s">
        <v>33</v>
      </c>
      <c r="G298" s="4" t="s">
        <v>1379</v>
      </c>
      <c r="H298" s="4" t="s">
        <v>1379</v>
      </c>
      <c r="I298" s="4" t="s">
        <v>1380</v>
      </c>
      <c r="J298" s="4" t="s">
        <v>1381</v>
      </c>
      <c r="K298" s="4" t="s">
        <v>1382</v>
      </c>
      <c r="L298" s="6" t="s">
        <v>518</v>
      </c>
    </row>
    <row r="299" spans="1:12" ht="72" customHeight="1">
      <c r="A299" s="4" t="s">
        <v>1383</v>
      </c>
      <c r="B299" s="4" t="s">
        <v>1377</v>
      </c>
      <c r="C299" s="4" t="s">
        <v>1384</v>
      </c>
      <c r="D299" s="4" t="s">
        <v>42</v>
      </c>
      <c r="E299" s="4" t="s">
        <v>33</v>
      </c>
      <c r="F299" s="4" t="s">
        <v>33</v>
      </c>
      <c r="G299" s="4" t="s">
        <v>1379</v>
      </c>
      <c r="H299" s="4" t="s">
        <v>1379</v>
      </c>
      <c r="I299" s="4" t="s">
        <v>1380</v>
      </c>
      <c r="J299" s="4" t="s">
        <v>1385</v>
      </c>
      <c r="K299" s="4" t="s">
        <v>1386</v>
      </c>
      <c r="L299" s="6" t="s">
        <v>95</v>
      </c>
    </row>
    <row r="300" spans="1:12" ht="72" customHeight="1">
      <c r="A300" s="4" t="s">
        <v>1387</v>
      </c>
      <c r="B300" s="4" t="s">
        <v>1377</v>
      </c>
      <c r="C300" s="4" t="s">
        <v>1388</v>
      </c>
      <c r="D300" s="4" t="s">
        <v>42</v>
      </c>
      <c r="E300" s="4" t="s">
        <v>33</v>
      </c>
      <c r="F300" s="4" t="s">
        <v>33</v>
      </c>
      <c r="G300" s="4" t="s">
        <v>1379</v>
      </c>
      <c r="H300" s="4" t="s">
        <v>1379</v>
      </c>
      <c r="I300" s="4" t="s">
        <v>1380</v>
      </c>
      <c r="J300" s="4" t="s">
        <v>1389</v>
      </c>
      <c r="K300" s="4" t="s">
        <v>1390</v>
      </c>
      <c r="L300" s="6" t="s">
        <v>311</v>
      </c>
    </row>
    <row r="301" spans="1:12" ht="72" customHeight="1">
      <c r="A301" s="4" t="s">
        <v>1391</v>
      </c>
      <c r="B301" s="4" t="s">
        <v>1377</v>
      </c>
      <c r="C301" s="4" t="s">
        <v>1392</v>
      </c>
      <c r="D301" s="4" t="s">
        <v>42</v>
      </c>
      <c r="E301" s="4" t="s">
        <v>33</v>
      </c>
      <c r="F301" s="4" t="s">
        <v>33</v>
      </c>
      <c r="G301" s="4" t="s">
        <v>1379</v>
      </c>
      <c r="H301" s="4" t="s">
        <v>1379</v>
      </c>
      <c r="I301" s="4" t="s">
        <v>1380</v>
      </c>
      <c r="J301" s="4" t="s">
        <v>1393</v>
      </c>
      <c r="K301" s="4" t="s">
        <v>1390</v>
      </c>
      <c r="L301" s="6" t="s">
        <v>165</v>
      </c>
    </row>
    <row r="302" spans="1:12" ht="72" customHeight="1">
      <c r="A302" s="4" t="s">
        <v>1394</v>
      </c>
      <c r="B302" s="4" t="s">
        <v>1377</v>
      </c>
      <c r="C302" s="4" t="s">
        <v>1395</v>
      </c>
      <c r="D302" s="4" t="s">
        <v>42</v>
      </c>
      <c r="E302" s="4" t="s">
        <v>33</v>
      </c>
      <c r="F302" s="4" t="s">
        <v>33</v>
      </c>
      <c r="G302" s="4" t="s">
        <v>1379</v>
      </c>
      <c r="H302" s="4" t="s">
        <v>1379</v>
      </c>
      <c r="I302" s="4" t="s">
        <v>1380</v>
      </c>
      <c r="J302" s="4" t="s">
        <v>1396</v>
      </c>
      <c r="K302" s="4" t="s">
        <v>1390</v>
      </c>
      <c r="L302" s="6" t="s">
        <v>39</v>
      </c>
    </row>
    <row r="303" spans="1:12" ht="72" customHeight="1">
      <c r="A303" s="4" t="s">
        <v>1397</v>
      </c>
      <c r="B303" s="4" t="s">
        <v>1398</v>
      </c>
      <c r="C303" s="4" t="s">
        <v>1399</v>
      </c>
      <c r="D303" s="4" t="s">
        <v>42</v>
      </c>
      <c r="E303" s="4" t="s">
        <v>33</v>
      </c>
      <c r="F303" s="4" t="s">
        <v>33</v>
      </c>
      <c r="G303" s="4" t="s">
        <v>1400</v>
      </c>
      <c r="H303" s="4" t="s">
        <v>1400</v>
      </c>
      <c r="I303" s="4" t="s">
        <v>1401</v>
      </c>
      <c r="J303" s="4" t="s">
        <v>1402</v>
      </c>
      <c r="K303" s="4" t="s">
        <v>1403</v>
      </c>
      <c r="L303" s="6" t="s">
        <v>95</v>
      </c>
    </row>
    <row r="304" spans="1:12" ht="72" customHeight="1">
      <c r="A304" s="4" t="s">
        <v>1404</v>
      </c>
      <c r="B304" s="4" t="s">
        <v>1398</v>
      </c>
      <c r="C304" s="4" t="s">
        <v>1405</v>
      </c>
      <c r="D304" s="4" t="s">
        <v>42</v>
      </c>
      <c r="E304" s="4" t="s">
        <v>33</v>
      </c>
      <c r="F304" s="4" t="s">
        <v>33</v>
      </c>
      <c r="G304" s="4" t="s">
        <v>1400</v>
      </c>
      <c r="H304" s="4" t="s">
        <v>1400</v>
      </c>
      <c r="I304" s="4" t="s">
        <v>1401</v>
      </c>
      <c r="J304" s="4" t="s">
        <v>1406</v>
      </c>
      <c r="K304" s="4" t="s">
        <v>1407</v>
      </c>
      <c r="L304" s="6" t="s">
        <v>147</v>
      </c>
    </row>
    <row r="305" spans="1:12" ht="72" customHeight="1">
      <c r="A305" s="4" t="s">
        <v>1408</v>
      </c>
      <c r="B305" s="4" t="s">
        <v>1398</v>
      </c>
      <c r="C305" s="4" t="s">
        <v>1409</v>
      </c>
      <c r="D305" s="4" t="s">
        <v>42</v>
      </c>
      <c r="E305" s="4" t="s">
        <v>33</v>
      </c>
      <c r="F305" s="4" t="s">
        <v>33</v>
      </c>
      <c r="G305" s="4" t="s">
        <v>1400</v>
      </c>
      <c r="H305" s="4" t="s">
        <v>1400</v>
      </c>
      <c r="I305" s="4" t="s">
        <v>1401</v>
      </c>
      <c r="J305" s="4" t="s">
        <v>1410</v>
      </c>
      <c r="K305" s="4" t="s">
        <v>1411</v>
      </c>
      <c r="L305" s="6" t="s">
        <v>81</v>
      </c>
    </row>
    <row r="306" spans="1:12" ht="72" customHeight="1">
      <c r="A306" s="4" t="s">
        <v>1412</v>
      </c>
      <c r="B306" s="4" t="s">
        <v>1398</v>
      </c>
      <c r="C306" s="4" t="s">
        <v>1413</v>
      </c>
      <c r="D306" s="4" t="s">
        <v>42</v>
      </c>
      <c r="E306" s="4" t="s">
        <v>33</v>
      </c>
      <c r="F306" s="4" t="s">
        <v>33</v>
      </c>
      <c r="G306" s="4" t="s">
        <v>1400</v>
      </c>
      <c r="H306" s="4" t="s">
        <v>1400</v>
      </c>
      <c r="I306" s="4" t="s">
        <v>1401</v>
      </c>
      <c r="J306" s="4" t="s">
        <v>1414</v>
      </c>
      <c r="K306" s="4" t="s">
        <v>1415</v>
      </c>
      <c r="L306" s="6" t="s">
        <v>116</v>
      </c>
    </row>
    <row r="307" spans="1:12" ht="72" customHeight="1">
      <c r="A307" s="4" t="s">
        <v>1416</v>
      </c>
      <c r="B307" s="4" t="s">
        <v>1417</v>
      </c>
      <c r="C307" s="4" t="s">
        <v>1418</v>
      </c>
      <c r="D307" s="4" t="s">
        <v>42</v>
      </c>
      <c r="E307" s="4" t="s">
        <v>33</v>
      </c>
      <c r="F307" s="4" t="s">
        <v>33</v>
      </c>
      <c r="G307" s="4" t="s">
        <v>1419</v>
      </c>
      <c r="H307" s="4" t="s">
        <v>1419</v>
      </c>
      <c r="I307" s="4" t="s">
        <v>1420</v>
      </c>
      <c r="J307" s="4" t="s">
        <v>1421</v>
      </c>
      <c r="K307" s="4" t="s">
        <v>1422</v>
      </c>
      <c r="L307" s="6" t="s">
        <v>39</v>
      </c>
    </row>
    <row r="308" spans="1:12" ht="72" customHeight="1">
      <c r="A308" s="4" t="s">
        <v>1423</v>
      </c>
      <c r="B308" s="4" t="s">
        <v>1417</v>
      </c>
      <c r="C308" s="4" t="s">
        <v>1424</v>
      </c>
      <c r="D308" s="4" t="s">
        <v>42</v>
      </c>
      <c r="E308" s="4" t="s">
        <v>33</v>
      </c>
      <c r="F308" s="4" t="s">
        <v>33</v>
      </c>
      <c r="G308" s="4" t="s">
        <v>1419</v>
      </c>
      <c r="H308" s="4" t="s">
        <v>1419</v>
      </c>
      <c r="I308" s="4" t="s">
        <v>1420</v>
      </c>
      <c r="J308" s="4" t="s">
        <v>1425</v>
      </c>
      <c r="K308" s="4" t="s">
        <v>1426</v>
      </c>
      <c r="L308" s="6" t="s">
        <v>88</v>
      </c>
    </row>
    <row r="309" spans="1:12" ht="72" customHeight="1">
      <c r="A309" s="4" t="s">
        <v>1427</v>
      </c>
      <c r="B309" s="4" t="s">
        <v>1417</v>
      </c>
      <c r="C309" s="4" t="s">
        <v>1428</v>
      </c>
      <c r="D309" s="4" t="s">
        <v>42</v>
      </c>
      <c r="E309" s="4" t="s">
        <v>33</v>
      </c>
      <c r="F309" s="4" t="s">
        <v>33</v>
      </c>
      <c r="G309" s="4" t="s">
        <v>1419</v>
      </c>
      <c r="H309" s="4" t="s">
        <v>1419</v>
      </c>
      <c r="I309" s="4" t="s">
        <v>1420</v>
      </c>
      <c r="J309" s="4" t="s">
        <v>1429</v>
      </c>
      <c r="K309" s="4" t="s">
        <v>1430</v>
      </c>
      <c r="L309" s="6" t="s">
        <v>165</v>
      </c>
    </row>
    <row r="310" spans="1:12" ht="72" customHeight="1">
      <c r="A310" s="4" t="s">
        <v>1431</v>
      </c>
      <c r="B310" s="4" t="s">
        <v>1432</v>
      </c>
      <c r="C310" s="4" t="s">
        <v>1433</v>
      </c>
      <c r="D310" s="4" t="s">
        <v>42</v>
      </c>
      <c r="E310" s="4" t="s">
        <v>33</v>
      </c>
      <c r="F310" s="4" t="s">
        <v>33</v>
      </c>
      <c r="G310" s="4" t="s">
        <v>1434</v>
      </c>
      <c r="H310" s="4" t="s">
        <v>1434</v>
      </c>
      <c r="I310" s="4" t="s">
        <v>1435</v>
      </c>
      <c r="J310" s="4" t="s">
        <v>1436</v>
      </c>
      <c r="K310" s="4" t="s">
        <v>1437</v>
      </c>
      <c r="L310" s="6" t="s">
        <v>88</v>
      </c>
    </row>
    <row r="311" spans="1:12" ht="72" customHeight="1">
      <c r="A311" s="4" t="s">
        <v>1438</v>
      </c>
      <c r="B311" s="4" t="s">
        <v>1432</v>
      </c>
      <c r="C311" s="4" t="s">
        <v>1439</v>
      </c>
      <c r="D311" s="4" t="s">
        <v>42</v>
      </c>
      <c r="E311" s="4" t="s">
        <v>33</v>
      </c>
      <c r="F311" s="4" t="s">
        <v>33</v>
      </c>
      <c r="G311" s="4" t="s">
        <v>1434</v>
      </c>
      <c r="H311" s="4" t="s">
        <v>1434</v>
      </c>
      <c r="I311" s="4" t="s">
        <v>1435</v>
      </c>
      <c r="J311" s="4" t="s">
        <v>1440</v>
      </c>
      <c r="K311" s="4" t="s">
        <v>1437</v>
      </c>
      <c r="L311" s="6" t="s">
        <v>141</v>
      </c>
    </row>
    <row r="312" spans="1:12" ht="72" customHeight="1">
      <c r="A312" s="4" t="s">
        <v>1441</v>
      </c>
      <c r="B312" s="4" t="s">
        <v>1432</v>
      </c>
      <c r="C312" s="4" t="s">
        <v>1442</v>
      </c>
      <c r="D312" s="4" t="s">
        <v>42</v>
      </c>
      <c r="E312" s="4" t="s">
        <v>33</v>
      </c>
      <c r="F312" s="4" t="s">
        <v>33</v>
      </c>
      <c r="G312" s="4" t="s">
        <v>1434</v>
      </c>
      <c r="H312" s="4" t="s">
        <v>1434</v>
      </c>
      <c r="I312" s="4" t="s">
        <v>1435</v>
      </c>
      <c r="J312" s="4" t="s">
        <v>1443</v>
      </c>
      <c r="K312" s="4" t="s">
        <v>1444</v>
      </c>
      <c r="L312" s="6" t="s">
        <v>165</v>
      </c>
    </row>
    <row r="313" spans="1:12" ht="72" customHeight="1">
      <c r="A313" s="4" t="s">
        <v>1445</v>
      </c>
      <c r="B313" s="4" t="s">
        <v>1446</v>
      </c>
      <c r="C313" s="4" t="s">
        <v>1447</v>
      </c>
      <c r="D313" s="4" t="s">
        <v>42</v>
      </c>
      <c r="E313" s="4" t="s">
        <v>33</v>
      </c>
      <c r="F313" s="4" t="s">
        <v>33</v>
      </c>
      <c r="G313" s="4" t="s">
        <v>1448</v>
      </c>
      <c r="H313" s="4" t="s">
        <v>1448</v>
      </c>
      <c r="I313" s="4" t="s">
        <v>1449</v>
      </c>
      <c r="J313" s="4" t="s">
        <v>1450</v>
      </c>
      <c r="K313" s="4" t="s">
        <v>1451</v>
      </c>
      <c r="L313" s="6" t="s">
        <v>39</v>
      </c>
    </row>
    <row r="314" spans="1:12" ht="72" customHeight="1">
      <c r="A314" s="4" t="s">
        <v>1452</v>
      </c>
      <c r="B314" s="4" t="s">
        <v>1446</v>
      </c>
      <c r="C314" s="4" t="s">
        <v>1453</v>
      </c>
      <c r="D314" s="4" t="s">
        <v>42</v>
      </c>
      <c r="E314" s="4" t="s">
        <v>33</v>
      </c>
      <c r="F314" s="4" t="s">
        <v>33</v>
      </c>
      <c r="G314" s="4" t="s">
        <v>1448</v>
      </c>
      <c r="H314" s="4" t="s">
        <v>1448</v>
      </c>
      <c r="I314" s="4" t="s">
        <v>1449</v>
      </c>
      <c r="J314" s="4" t="s">
        <v>1454</v>
      </c>
      <c r="K314" s="4" t="s">
        <v>1455</v>
      </c>
      <c r="L314" s="6" t="s">
        <v>518</v>
      </c>
    </row>
    <row r="315" spans="1:12" ht="72" customHeight="1">
      <c r="A315" s="4" t="s">
        <v>1456</v>
      </c>
      <c r="B315" s="4" t="s">
        <v>1446</v>
      </c>
      <c r="C315" s="4" t="s">
        <v>1457</v>
      </c>
      <c r="D315" s="4" t="s">
        <v>42</v>
      </c>
      <c r="E315" s="4" t="s">
        <v>33</v>
      </c>
      <c r="F315" s="4" t="s">
        <v>33</v>
      </c>
      <c r="G315" s="4" t="s">
        <v>1448</v>
      </c>
      <c r="H315" s="4" t="s">
        <v>1448</v>
      </c>
      <c r="I315" s="4" t="s">
        <v>1449</v>
      </c>
      <c r="J315" s="4" t="s">
        <v>1458</v>
      </c>
      <c r="K315" s="4" t="s">
        <v>1459</v>
      </c>
      <c r="L315" s="6" t="s">
        <v>1045</v>
      </c>
    </row>
    <row r="316" spans="1:12" ht="72" customHeight="1">
      <c r="A316" s="4" t="s">
        <v>1460</v>
      </c>
      <c r="B316" s="4" t="s">
        <v>1446</v>
      </c>
      <c r="C316" s="4" t="s">
        <v>1461</v>
      </c>
      <c r="D316" s="4" t="s">
        <v>42</v>
      </c>
      <c r="E316" s="4" t="s">
        <v>33</v>
      </c>
      <c r="F316" s="4" t="s">
        <v>33</v>
      </c>
      <c r="G316" s="4" t="s">
        <v>1448</v>
      </c>
      <c r="H316" s="4" t="s">
        <v>1448</v>
      </c>
      <c r="I316" s="4" t="s">
        <v>1449</v>
      </c>
      <c r="J316" s="4" t="s">
        <v>1462</v>
      </c>
      <c r="K316" s="4" t="s">
        <v>1463</v>
      </c>
      <c r="L316" s="6" t="s">
        <v>88</v>
      </c>
    </row>
    <row r="317" spans="1:12" ht="72" customHeight="1">
      <c r="A317" s="4" t="s">
        <v>1464</v>
      </c>
      <c r="B317" s="4" t="s">
        <v>1446</v>
      </c>
      <c r="C317" s="4" t="s">
        <v>1465</v>
      </c>
      <c r="D317" s="4" t="s">
        <v>42</v>
      </c>
      <c r="E317" s="4" t="s">
        <v>33</v>
      </c>
      <c r="F317" s="4" t="s">
        <v>33</v>
      </c>
      <c r="G317" s="4" t="s">
        <v>1448</v>
      </c>
      <c r="H317" s="4" t="s">
        <v>1448</v>
      </c>
      <c r="I317" s="4" t="s">
        <v>1449</v>
      </c>
      <c r="J317" s="4" t="s">
        <v>1466</v>
      </c>
      <c r="K317" s="4" t="s">
        <v>1463</v>
      </c>
      <c r="L317" s="6" t="s">
        <v>116</v>
      </c>
    </row>
    <row r="318" spans="1:12" ht="72" customHeight="1">
      <c r="A318" s="4" t="s">
        <v>1467</v>
      </c>
      <c r="B318" s="4" t="s">
        <v>1468</v>
      </c>
      <c r="C318" s="4" t="s">
        <v>1469</v>
      </c>
      <c r="D318" s="4" t="s">
        <v>42</v>
      </c>
      <c r="E318" s="4" t="s">
        <v>33</v>
      </c>
      <c r="F318" s="4" t="s">
        <v>33</v>
      </c>
      <c r="G318" s="4" t="s">
        <v>1470</v>
      </c>
      <c r="H318" s="4" t="s">
        <v>1470</v>
      </c>
      <c r="I318" s="4" t="s">
        <v>1471</v>
      </c>
      <c r="J318" s="4" t="s">
        <v>1472</v>
      </c>
      <c r="K318" s="4" t="s">
        <v>1473</v>
      </c>
      <c r="L318" s="6" t="s">
        <v>141</v>
      </c>
    </row>
    <row r="319" spans="1:12" ht="72" customHeight="1">
      <c r="A319" s="4" t="s">
        <v>1474</v>
      </c>
      <c r="B319" s="4" t="s">
        <v>1468</v>
      </c>
      <c r="C319" s="4" t="s">
        <v>1475</v>
      </c>
      <c r="D319" s="4" t="s">
        <v>42</v>
      </c>
      <c r="E319" s="4" t="s">
        <v>33</v>
      </c>
      <c r="F319" s="4" t="s">
        <v>33</v>
      </c>
      <c r="G319" s="4" t="s">
        <v>1470</v>
      </c>
      <c r="H319" s="4" t="s">
        <v>1470</v>
      </c>
      <c r="I319" s="4" t="s">
        <v>1471</v>
      </c>
      <c r="J319" s="4" t="s">
        <v>1476</v>
      </c>
      <c r="K319" s="4" t="s">
        <v>1473</v>
      </c>
      <c r="L319" s="6" t="s">
        <v>165</v>
      </c>
    </row>
    <row r="320" spans="1:12" ht="72" customHeight="1">
      <c r="A320" s="4" t="s">
        <v>1477</v>
      </c>
      <c r="B320" s="4" t="s">
        <v>1468</v>
      </c>
      <c r="C320" s="4" t="s">
        <v>1478</v>
      </c>
      <c r="D320" s="4" t="s">
        <v>42</v>
      </c>
      <c r="E320" s="4" t="s">
        <v>33</v>
      </c>
      <c r="F320" s="4" t="s">
        <v>33</v>
      </c>
      <c r="G320" s="4" t="s">
        <v>1470</v>
      </c>
      <c r="H320" s="4" t="s">
        <v>1470</v>
      </c>
      <c r="I320" s="4" t="s">
        <v>1471</v>
      </c>
      <c r="J320" s="4" t="s">
        <v>1479</v>
      </c>
      <c r="K320" s="4" t="s">
        <v>1473</v>
      </c>
      <c r="L320" s="6" t="s">
        <v>165</v>
      </c>
    </row>
    <row r="321" spans="1:12" ht="72" customHeight="1">
      <c r="A321" s="4" t="s">
        <v>1480</v>
      </c>
      <c r="B321" s="4" t="s">
        <v>1468</v>
      </c>
      <c r="C321" s="4" t="s">
        <v>1481</v>
      </c>
      <c r="D321" s="4" t="s">
        <v>42</v>
      </c>
      <c r="E321" s="4" t="s">
        <v>33</v>
      </c>
      <c r="F321" s="4" t="s">
        <v>33</v>
      </c>
      <c r="G321" s="4" t="s">
        <v>1470</v>
      </c>
      <c r="H321" s="4" t="s">
        <v>1470</v>
      </c>
      <c r="I321" s="4" t="s">
        <v>1471</v>
      </c>
      <c r="J321" s="4" t="s">
        <v>1482</v>
      </c>
      <c r="K321" s="4" t="s">
        <v>1473</v>
      </c>
      <c r="L321" s="6" t="s">
        <v>165</v>
      </c>
    </row>
    <row r="322" spans="1:12" ht="72" customHeight="1">
      <c r="A322" s="4" t="s">
        <v>1483</v>
      </c>
      <c r="B322" s="4" t="s">
        <v>1468</v>
      </c>
      <c r="C322" s="4" t="s">
        <v>1484</v>
      </c>
      <c r="D322" s="4" t="s">
        <v>42</v>
      </c>
      <c r="E322" s="4" t="s">
        <v>33</v>
      </c>
      <c r="F322" s="4" t="s">
        <v>33</v>
      </c>
      <c r="G322" s="4" t="s">
        <v>1470</v>
      </c>
      <c r="H322" s="4" t="s">
        <v>1470</v>
      </c>
      <c r="I322" s="4" t="s">
        <v>1471</v>
      </c>
      <c r="J322" s="4" t="s">
        <v>1485</v>
      </c>
      <c r="K322" s="4" t="s">
        <v>1473</v>
      </c>
      <c r="L322" s="6" t="s">
        <v>518</v>
      </c>
    </row>
    <row r="323" spans="1:12" ht="72" customHeight="1">
      <c r="A323" s="4" t="s">
        <v>1486</v>
      </c>
      <c r="B323" s="4" t="s">
        <v>1468</v>
      </c>
      <c r="C323" s="4" t="s">
        <v>1487</v>
      </c>
      <c r="D323" s="4" t="s">
        <v>42</v>
      </c>
      <c r="E323" s="4" t="s">
        <v>33</v>
      </c>
      <c r="F323" s="4" t="s">
        <v>33</v>
      </c>
      <c r="G323" s="4" t="s">
        <v>1470</v>
      </c>
      <c r="H323" s="4" t="s">
        <v>1470</v>
      </c>
      <c r="I323" s="4" t="s">
        <v>1471</v>
      </c>
      <c r="J323" s="4" t="s">
        <v>1488</v>
      </c>
      <c r="K323" s="4" t="s">
        <v>1473</v>
      </c>
      <c r="L323" s="6" t="s">
        <v>81</v>
      </c>
    </row>
    <row r="324" spans="1:12" ht="72" customHeight="1">
      <c r="A324" s="4" t="s">
        <v>1489</v>
      </c>
      <c r="B324" s="4" t="s">
        <v>1490</v>
      </c>
      <c r="C324" s="4" t="s">
        <v>1491</v>
      </c>
      <c r="D324" s="4" t="s">
        <v>42</v>
      </c>
      <c r="E324" s="4" t="s">
        <v>33</v>
      </c>
      <c r="F324" s="4" t="s">
        <v>33</v>
      </c>
      <c r="G324" s="4" t="s">
        <v>1492</v>
      </c>
      <c r="H324" s="4" t="s">
        <v>1492</v>
      </c>
      <c r="I324" s="4" t="s">
        <v>1493</v>
      </c>
      <c r="J324" s="4" t="s">
        <v>1494</v>
      </c>
      <c r="K324" s="4" t="s">
        <v>1495</v>
      </c>
      <c r="L324" s="6" t="s">
        <v>39</v>
      </c>
    </row>
    <row r="325" spans="1:12" ht="72" customHeight="1">
      <c r="A325" s="4" t="s">
        <v>1496</v>
      </c>
      <c r="B325" s="4" t="s">
        <v>1490</v>
      </c>
      <c r="C325" s="4" t="s">
        <v>1497</v>
      </c>
      <c r="D325" s="4" t="s">
        <v>42</v>
      </c>
      <c r="E325" s="4" t="s">
        <v>33</v>
      </c>
      <c r="F325" s="4" t="s">
        <v>33</v>
      </c>
      <c r="G325" s="4" t="s">
        <v>1492</v>
      </c>
      <c r="H325" s="4" t="s">
        <v>1492</v>
      </c>
      <c r="I325" s="4" t="s">
        <v>1493</v>
      </c>
      <c r="J325" s="4" t="s">
        <v>1498</v>
      </c>
      <c r="K325" s="4" t="s">
        <v>1499</v>
      </c>
      <c r="L325" s="6" t="s">
        <v>88</v>
      </c>
    </row>
    <row r="326" spans="1:12" ht="72" customHeight="1">
      <c r="A326" s="4" t="s">
        <v>1500</v>
      </c>
      <c r="B326" s="4" t="s">
        <v>1490</v>
      </c>
      <c r="C326" s="4" t="s">
        <v>1501</v>
      </c>
      <c r="D326" s="4" t="s">
        <v>42</v>
      </c>
      <c r="E326" s="4" t="s">
        <v>33</v>
      </c>
      <c r="F326" s="4" t="s">
        <v>33</v>
      </c>
      <c r="G326" s="4" t="s">
        <v>1492</v>
      </c>
      <c r="H326" s="4" t="s">
        <v>1492</v>
      </c>
      <c r="I326" s="4" t="s">
        <v>1493</v>
      </c>
      <c r="J326" s="4" t="s">
        <v>1502</v>
      </c>
      <c r="K326" s="4" t="s">
        <v>1503</v>
      </c>
      <c r="L326" s="6" t="s">
        <v>159</v>
      </c>
    </row>
    <row r="327" spans="1:12" ht="72" customHeight="1">
      <c r="A327" s="4" t="s">
        <v>1504</v>
      </c>
      <c r="B327" s="4" t="s">
        <v>1490</v>
      </c>
      <c r="C327" s="4" t="s">
        <v>1505</v>
      </c>
      <c r="D327" s="4" t="s">
        <v>42</v>
      </c>
      <c r="E327" s="4" t="s">
        <v>33</v>
      </c>
      <c r="F327" s="4" t="s">
        <v>33</v>
      </c>
      <c r="G327" s="4" t="s">
        <v>1492</v>
      </c>
      <c r="H327" s="4" t="s">
        <v>1492</v>
      </c>
      <c r="I327" s="4" t="s">
        <v>1493</v>
      </c>
      <c r="J327" s="4" t="s">
        <v>1506</v>
      </c>
      <c r="K327" s="4" t="s">
        <v>1507</v>
      </c>
      <c r="L327" s="6" t="s">
        <v>103</v>
      </c>
    </row>
    <row r="328" spans="1:12" ht="72" customHeight="1">
      <c r="A328" s="4" t="s">
        <v>1508</v>
      </c>
      <c r="B328" s="4" t="s">
        <v>1490</v>
      </c>
      <c r="C328" s="4" t="s">
        <v>1509</v>
      </c>
      <c r="D328" s="4" t="s">
        <v>42</v>
      </c>
      <c r="E328" s="4" t="s">
        <v>33</v>
      </c>
      <c r="F328" s="4" t="s">
        <v>33</v>
      </c>
      <c r="G328" s="4" t="s">
        <v>1492</v>
      </c>
      <c r="H328" s="4" t="s">
        <v>1492</v>
      </c>
      <c r="I328" s="4" t="s">
        <v>1493</v>
      </c>
      <c r="J328" s="4" t="s">
        <v>1510</v>
      </c>
      <c r="K328" s="4" t="s">
        <v>1499</v>
      </c>
      <c r="L328" s="6" t="s">
        <v>518</v>
      </c>
    </row>
    <row r="329" spans="1:12" ht="72" customHeight="1">
      <c r="A329" s="4" t="s">
        <v>1511</v>
      </c>
      <c r="B329" s="4" t="s">
        <v>1490</v>
      </c>
      <c r="C329" s="4" t="s">
        <v>1512</v>
      </c>
      <c r="D329" s="4" t="s">
        <v>42</v>
      </c>
      <c r="E329" s="4" t="s">
        <v>33</v>
      </c>
      <c r="F329" s="4" t="s">
        <v>33</v>
      </c>
      <c r="G329" s="4" t="s">
        <v>1492</v>
      </c>
      <c r="H329" s="4" t="s">
        <v>1492</v>
      </c>
      <c r="I329" s="4" t="s">
        <v>1493</v>
      </c>
      <c r="J329" s="4" t="s">
        <v>1513</v>
      </c>
      <c r="K329" s="4" t="s">
        <v>1499</v>
      </c>
      <c r="L329" s="6" t="s">
        <v>88</v>
      </c>
    </row>
    <row r="330" spans="1:12" ht="72" customHeight="1">
      <c r="A330" s="4" t="s">
        <v>1514</v>
      </c>
      <c r="B330" s="4" t="s">
        <v>1490</v>
      </c>
      <c r="C330" s="4" t="s">
        <v>1515</v>
      </c>
      <c r="D330" s="4" t="s">
        <v>42</v>
      </c>
      <c r="E330" s="4" t="s">
        <v>33</v>
      </c>
      <c r="F330" s="4" t="s">
        <v>33</v>
      </c>
      <c r="G330" s="4" t="s">
        <v>1492</v>
      </c>
      <c r="H330" s="4" t="s">
        <v>1492</v>
      </c>
      <c r="I330" s="4" t="s">
        <v>1493</v>
      </c>
      <c r="J330" s="4" t="s">
        <v>1516</v>
      </c>
      <c r="K330" s="4" t="s">
        <v>1517</v>
      </c>
      <c r="L330" s="6" t="s">
        <v>625</v>
      </c>
    </row>
    <row r="331" spans="1:12" ht="72" customHeight="1">
      <c r="A331" s="4" t="s">
        <v>1518</v>
      </c>
      <c r="B331" s="4" t="s">
        <v>1519</v>
      </c>
      <c r="C331" s="4" t="s">
        <v>1520</v>
      </c>
      <c r="D331" s="4" t="s">
        <v>42</v>
      </c>
      <c r="E331" s="4" t="s">
        <v>33</v>
      </c>
      <c r="F331" s="4" t="s">
        <v>33</v>
      </c>
      <c r="G331" s="4" t="s">
        <v>1521</v>
      </c>
      <c r="H331" s="4" t="s">
        <v>1521</v>
      </c>
      <c r="I331" s="4" t="s">
        <v>1522</v>
      </c>
      <c r="J331" s="4" t="s">
        <v>1523</v>
      </c>
      <c r="K331" s="4" t="s">
        <v>1524</v>
      </c>
      <c r="L331" s="6" t="s">
        <v>141</v>
      </c>
    </row>
    <row r="332" spans="1:12" ht="72" customHeight="1">
      <c r="A332" s="4" t="s">
        <v>1525</v>
      </c>
      <c r="B332" s="4" t="s">
        <v>1519</v>
      </c>
      <c r="C332" s="4" t="s">
        <v>1526</v>
      </c>
      <c r="D332" s="4" t="s">
        <v>42</v>
      </c>
      <c r="E332" s="4" t="s">
        <v>33</v>
      </c>
      <c r="F332" s="4" t="s">
        <v>33</v>
      </c>
      <c r="G332" s="4" t="s">
        <v>1521</v>
      </c>
      <c r="H332" s="4" t="s">
        <v>1521</v>
      </c>
      <c r="I332" s="4" t="s">
        <v>1522</v>
      </c>
      <c r="J332" s="4" t="s">
        <v>1527</v>
      </c>
      <c r="K332" s="4" t="s">
        <v>1524</v>
      </c>
      <c r="L332" s="6" t="s">
        <v>88</v>
      </c>
    </row>
    <row r="333" spans="1:12" ht="72" customHeight="1">
      <c r="A333" s="4" t="s">
        <v>1528</v>
      </c>
      <c r="B333" s="4" t="s">
        <v>1519</v>
      </c>
      <c r="C333" s="4" t="s">
        <v>1529</v>
      </c>
      <c r="D333" s="4" t="s">
        <v>42</v>
      </c>
      <c r="E333" s="4" t="s">
        <v>33</v>
      </c>
      <c r="F333" s="4" t="s">
        <v>33</v>
      </c>
      <c r="G333" s="4" t="s">
        <v>1521</v>
      </c>
      <c r="H333" s="4" t="s">
        <v>1521</v>
      </c>
      <c r="I333" s="4" t="s">
        <v>1522</v>
      </c>
      <c r="J333" s="4" t="s">
        <v>1530</v>
      </c>
      <c r="K333" s="4" t="s">
        <v>1524</v>
      </c>
      <c r="L333" s="6" t="s">
        <v>159</v>
      </c>
    </row>
    <row r="334" spans="1:12" ht="72" customHeight="1">
      <c r="A334" s="4" t="s">
        <v>1531</v>
      </c>
      <c r="B334" s="4" t="s">
        <v>1532</v>
      </c>
      <c r="C334" s="4" t="s">
        <v>1533</v>
      </c>
      <c r="D334" s="4" t="s">
        <v>42</v>
      </c>
      <c r="E334" s="4" t="s">
        <v>33</v>
      </c>
      <c r="F334" s="4" t="s">
        <v>33</v>
      </c>
      <c r="G334" s="4" t="s">
        <v>1534</v>
      </c>
      <c r="H334" s="4" t="s">
        <v>1535</v>
      </c>
      <c r="I334" s="4" t="s">
        <v>1536</v>
      </c>
      <c r="J334" s="4" t="s">
        <v>1537</v>
      </c>
      <c r="K334" s="4" t="s">
        <v>1538</v>
      </c>
      <c r="L334" s="6" t="s">
        <v>39</v>
      </c>
    </row>
    <row r="335" spans="1:12" ht="72" customHeight="1">
      <c r="A335" s="4" t="s">
        <v>1539</v>
      </c>
      <c r="B335" s="4" t="s">
        <v>1532</v>
      </c>
      <c r="C335" s="4" t="s">
        <v>1540</v>
      </c>
      <c r="D335" s="4" t="s">
        <v>42</v>
      </c>
      <c r="E335" s="4" t="s">
        <v>33</v>
      </c>
      <c r="F335" s="4" t="s">
        <v>33</v>
      </c>
      <c r="G335" s="4" t="s">
        <v>1534</v>
      </c>
      <c r="H335" s="4" t="s">
        <v>1535</v>
      </c>
      <c r="I335" s="4" t="s">
        <v>1536</v>
      </c>
      <c r="J335" s="4" t="s">
        <v>1541</v>
      </c>
      <c r="K335" s="4" t="s">
        <v>1542</v>
      </c>
      <c r="L335" s="6" t="s">
        <v>311</v>
      </c>
    </row>
    <row r="336" spans="1:12" ht="72" customHeight="1">
      <c r="A336" s="4" t="s">
        <v>1543</v>
      </c>
      <c r="B336" s="4" t="s">
        <v>1532</v>
      </c>
      <c r="C336" s="4" t="s">
        <v>1544</v>
      </c>
      <c r="D336" s="4" t="s">
        <v>42</v>
      </c>
      <c r="E336" s="4" t="s">
        <v>33</v>
      </c>
      <c r="F336" s="4" t="s">
        <v>33</v>
      </c>
      <c r="G336" s="4" t="s">
        <v>1534</v>
      </c>
      <c r="H336" s="4" t="s">
        <v>1535</v>
      </c>
      <c r="I336" s="4" t="s">
        <v>1536</v>
      </c>
      <c r="J336" s="4" t="s">
        <v>1545</v>
      </c>
      <c r="K336" s="4" t="s">
        <v>1546</v>
      </c>
      <c r="L336" s="6" t="s">
        <v>518</v>
      </c>
    </row>
    <row r="337" spans="1:12" ht="72" customHeight="1">
      <c r="A337" s="4" t="s">
        <v>1547</v>
      </c>
      <c r="B337" s="4" t="s">
        <v>1532</v>
      </c>
      <c r="C337" s="4" t="s">
        <v>1548</v>
      </c>
      <c r="D337" s="4" t="s">
        <v>42</v>
      </c>
      <c r="E337" s="4" t="s">
        <v>33</v>
      </c>
      <c r="F337" s="4" t="s">
        <v>33</v>
      </c>
      <c r="G337" s="4" t="s">
        <v>1534</v>
      </c>
      <c r="H337" s="4" t="s">
        <v>1535</v>
      </c>
      <c r="I337" s="4" t="s">
        <v>1536</v>
      </c>
      <c r="J337" s="4" t="s">
        <v>1549</v>
      </c>
      <c r="K337" s="4" t="s">
        <v>1538</v>
      </c>
      <c r="L337" s="6" t="s">
        <v>81</v>
      </c>
    </row>
    <row r="338" spans="1:12" ht="72" customHeight="1">
      <c r="A338" s="4" t="s">
        <v>1550</v>
      </c>
      <c r="B338" s="4" t="s">
        <v>1532</v>
      </c>
      <c r="C338" s="4" t="s">
        <v>1551</v>
      </c>
      <c r="D338" s="4" t="s">
        <v>42</v>
      </c>
      <c r="E338" s="4" t="s">
        <v>33</v>
      </c>
      <c r="F338" s="4" t="s">
        <v>33</v>
      </c>
      <c r="G338" s="4" t="s">
        <v>1534</v>
      </c>
      <c r="H338" s="4" t="s">
        <v>1535</v>
      </c>
      <c r="I338" s="4" t="s">
        <v>1536</v>
      </c>
      <c r="J338" s="4" t="s">
        <v>1552</v>
      </c>
      <c r="K338" s="4" t="s">
        <v>1538</v>
      </c>
      <c r="L338" s="6" t="s">
        <v>518</v>
      </c>
    </row>
    <row r="339" spans="1:12" ht="72" customHeight="1">
      <c r="A339" s="4" t="s">
        <v>1553</v>
      </c>
      <c r="B339" s="4" t="s">
        <v>1532</v>
      </c>
      <c r="C339" s="4" t="s">
        <v>1554</v>
      </c>
      <c r="D339" s="4" t="s">
        <v>42</v>
      </c>
      <c r="E339" s="4" t="s">
        <v>33</v>
      </c>
      <c r="F339" s="4" t="s">
        <v>33</v>
      </c>
      <c r="G339" s="4" t="s">
        <v>1534</v>
      </c>
      <c r="H339" s="4" t="s">
        <v>1535</v>
      </c>
      <c r="I339" s="4" t="s">
        <v>1536</v>
      </c>
      <c r="J339" s="4" t="s">
        <v>1555</v>
      </c>
      <c r="K339" s="4" t="s">
        <v>1556</v>
      </c>
      <c r="L339" s="6" t="s">
        <v>1045</v>
      </c>
    </row>
    <row r="340" spans="1:12" ht="72" customHeight="1">
      <c r="A340" s="4" t="s">
        <v>1557</v>
      </c>
      <c r="B340" s="4" t="s">
        <v>1532</v>
      </c>
      <c r="C340" s="4" t="s">
        <v>1558</v>
      </c>
      <c r="D340" s="4" t="s">
        <v>42</v>
      </c>
      <c r="E340" s="4" t="s">
        <v>33</v>
      </c>
      <c r="F340" s="4" t="s">
        <v>33</v>
      </c>
      <c r="G340" s="4" t="s">
        <v>1534</v>
      </c>
      <c r="H340" s="4" t="s">
        <v>1535</v>
      </c>
      <c r="I340" s="4" t="s">
        <v>1536</v>
      </c>
      <c r="J340" s="4" t="s">
        <v>1559</v>
      </c>
      <c r="K340" s="4" t="s">
        <v>1560</v>
      </c>
      <c r="L340" s="6" t="s">
        <v>88</v>
      </c>
    </row>
    <row r="341" spans="1:12" ht="72" customHeight="1">
      <c r="A341" s="4" t="s">
        <v>1561</v>
      </c>
      <c r="B341" s="4" t="s">
        <v>1532</v>
      </c>
      <c r="C341" s="4" t="s">
        <v>1562</v>
      </c>
      <c r="D341" s="4" t="s">
        <v>42</v>
      </c>
      <c r="E341" s="4" t="s">
        <v>33</v>
      </c>
      <c r="F341" s="4" t="s">
        <v>33</v>
      </c>
      <c r="G341" s="4" t="s">
        <v>1534</v>
      </c>
      <c r="H341" s="4" t="s">
        <v>1535</v>
      </c>
      <c r="I341" s="4" t="s">
        <v>1536</v>
      </c>
      <c r="J341" s="4" t="s">
        <v>1563</v>
      </c>
      <c r="K341" s="4" t="s">
        <v>1564</v>
      </c>
      <c r="L341" s="6" t="s">
        <v>103</v>
      </c>
    </row>
    <row r="342" spans="1:12" ht="72" customHeight="1">
      <c r="A342" s="4" t="s">
        <v>1565</v>
      </c>
      <c r="B342" s="4" t="s">
        <v>1566</v>
      </c>
      <c r="C342" s="4" t="s">
        <v>1567</v>
      </c>
      <c r="D342" s="4" t="s">
        <v>42</v>
      </c>
      <c r="E342" s="4" t="s">
        <v>33</v>
      </c>
      <c r="F342" s="4" t="s">
        <v>33</v>
      </c>
      <c r="G342" s="4" t="s">
        <v>1568</v>
      </c>
      <c r="H342" s="4" t="s">
        <v>1569</v>
      </c>
      <c r="I342" s="4" t="s">
        <v>1570</v>
      </c>
      <c r="J342" s="4" t="s">
        <v>1571</v>
      </c>
      <c r="K342" s="4" t="s">
        <v>1572</v>
      </c>
      <c r="L342" s="6" t="s">
        <v>147</v>
      </c>
    </row>
    <row r="343" spans="1:12" ht="72" customHeight="1">
      <c r="A343" s="4" t="s">
        <v>1573</v>
      </c>
      <c r="B343" s="4" t="s">
        <v>1566</v>
      </c>
      <c r="C343" s="4" t="s">
        <v>1574</v>
      </c>
      <c r="D343" s="4" t="s">
        <v>42</v>
      </c>
      <c r="E343" s="4" t="s">
        <v>33</v>
      </c>
      <c r="F343" s="4" t="s">
        <v>33</v>
      </c>
      <c r="G343" s="4" t="s">
        <v>1568</v>
      </c>
      <c r="H343" s="4" t="s">
        <v>1569</v>
      </c>
      <c r="I343" s="4" t="s">
        <v>1570</v>
      </c>
      <c r="J343" s="4" t="s">
        <v>1575</v>
      </c>
      <c r="K343" s="4" t="s">
        <v>1576</v>
      </c>
      <c r="L343" s="6" t="s">
        <v>88</v>
      </c>
    </row>
    <row r="344" spans="1:12" ht="72" customHeight="1">
      <c r="A344" s="4" t="s">
        <v>1577</v>
      </c>
      <c r="B344" s="4" t="s">
        <v>1566</v>
      </c>
      <c r="C344" s="4" t="s">
        <v>1578</v>
      </c>
      <c r="D344" s="4" t="s">
        <v>42</v>
      </c>
      <c r="E344" s="4" t="s">
        <v>33</v>
      </c>
      <c r="F344" s="4" t="s">
        <v>33</v>
      </c>
      <c r="G344" s="4" t="s">
        <v>1568</v>
      </c>
      <c r="H344" s="4" t="s">
        <v>1569</v>
      </c>
      <c r="I344" s="4" t="s">
        <v>1570</v>
      </c>
      <c r="J344" s="4" t="s">
        <v>1579</v>
      </c>
      <c r="K344" s="4" t="s">
        <v>1580</v>
      </c>
      <c r="L344" s="6" t="s">
        <v>88</v>
      </c>
    </row>
    <row r="345" spans="1:12" ht="72" customHeight="1">
      <c r="A345" s="4" t="s">
        <v>1581</v>
      </c>
      <c r="B345" s="4" t="s">
        <v>1566</v>
      </c>
      <c r="C345" s="4" t="s">
        <v>1582</v>
      </c>
      <c r="D345" s="4" t="s">
        <v>42</v>
      </c>
      <c r="E345" s="4" t="s">
        <v>33</v>
      </c>
      <c r="F345" s="4" t="s">
        <v>33</v>
      </c>
      <c r="G345" s="4" t="s">
        <v>1568</v>
      </c>
      <c r="H345" s="4" t="s">
        <v>1569</v>
      </c>
      <c r="I345" s="4" t="s">
        <v>1570</v>
      </c>
      <c r="J345" s="4" t="s">
        <v>1583</v>
      </c>
      <c r="K345" s="4" t="s">
        <v>1580</v>
      </c>
      <c r="L345" s="6" t="s">
        <v>88</v>
      </c>
    </row>
    <row r="346" spans="1:12" ht="72" customHeight="1">
      <c r="A346" s="4" t="s">
        <v>1584</v>
      </c>
      <c r="B346" s="4" t="s">
        <v>1566</v>
      </c>
      <c r="C346" s="4" t="s">
        <v>1585</v>
      </c>
      <c r="D346" s="4" t="s">
        <v>42</v>
      </c>
      <c r="E346" s="4" t="s">
        <v>33</v>
      </c>
      <c r="F346" s="4" t="s">
        <v>33</v>
      </c>
      <c r="G346" s="4" t="s">
        <v>1568</v>
      </c>
      <c r="H346" s="4" t="s">
        <v>1569</v>
      </c>
      <c r="I346" s="4" t="s">
        <v>1570</v>
      </c>
      <c r="J346" s="4" t="s">
        <v>1586</v>
      </c>
      <c r="K346" s="4" t="s">
        <v>1580</v>
      </c>
      <c r="L346" s="6" t="s">
        <v>88</v>
      </c>
    </row>
    <row r="347" spans="1:12" ht="72" customHeight="1">
      <c r="A347" s="4" t="s">
        <v>1587</v>
      </c>
      <c r="B347" s="4" t="s">
        <v>1588</v>
      </c>
      <c r="C347" s="4" t="s">
        <v>1589</v>
      </c>
      <c r="D347" s="4" t="s">
        <v>42</v>
      </c>
      <c r="E347" s="4" t="s">
        <v>33</v>
      </c>
      <c r="F347" s="4" t="s">
        <v>33</v>
      </c>
      <c r="G347" s="4" t="s">
        <v>1590</v>
      </c>
      <c r="H347" s="4" t="s">
        <v>1591</v>
      </c>
      <c r="I347" s="4" t="s">
        <v>1592</v>
      </c>
      <c r="J347" s="4" t="s">
        <v>1593</v>
      </c>
      <c r="K347" s="4" t="s">
        <v>1594</v>
      </c>
      <c r="L347" s="6" t="s">
        <v>159</v>
      </c>
    </row>
    <row r="348" spans="1:12" ht="72" customHeight="1">
      <c r="A348" s="4" t="s">
        <v>1595</v>
      </c>
      <c r="B348" s="4" t="s">
        <v>1588</v>
      </c>
      <c r="C348" s="4" t="s">
        <v>1596</v>
      </c>
      <c r="D348" s="4" t="s">
        <v>42</v>
      </c>
      <c r="E348" s="4" t="s">
        <v>33</v>
      </c>
      <c r="F348" s="4" t="s">
        <v>33</v>
      </c>
      <c r="G348" s="4" t="s">
        <v>1590</v>
      </c>
      <c r="H348" s="4" t="s">
        <v>1591</v>
      </c>
      <c r="I348" s="4" t="s">
        <v>1592</v>
      </c>
      <c r="J348" s="4" t="s">
        <v>1597</v>
      </c>
      <c r="K348" s="4" t="s">
        <v>1598</v>
      </c>
      <c r="L348" s="6" t="s">
        <v>165</v>
      </c>
    </row>
    <row r="349" spans="1:12" ht="72" customHeight="1">
      <c r="A349" s="4" t="s">
        <v>1599</v>
      </c>
      <c r="B349" s="4" t="s">
        <v>1588</v>
      </c>
      <c r="C349" s="4" t="s">
        <v>1600</v>
      </c>
      <c r="D349" s="4" t="s">
        <v>42</v>
      </c>
      <c r="E349" s="4" t="s">
        <v>33</v>
      </c>
      <c r="F349" s="4" t="s">
        <v>33</v>
      </c>
      <c r="G349" s="4" t="s">
        <v>1590</v>
      </c>
      <c r="H349" s="4" t="s">
        <v>1591</v>
      </c>
      <c r="I349" s="4" t="s">
        <v>1592</v>
      </c>
      <c r="J349" s="4" t="s">
        <v>1601</v>
      </c>
      <c r="K349" s="4" t="s">
        <v>1594</v>
      </c>
      <c r="L349" s="6" t="s">
        <v>147</v>
      </c>
    </row>
    <row r="350" spans="1:12" ht="72" customHeight="1">
      <c r="A350" s="4" t="s">
        <v>1602</v>
      </c>
      <c r="B350" s="4" t="s">
        <v>1588</v>
      </c>
      <c r="C350" s="4" t="s">
        <v>1603</v>
      </c>
      <c r="D350" s="4" t="s">
        <v>42</v>
      </c>
      <c r="E350" s="4" t="s">
        <v>33</v>
      </c>
      <c r="F350" s="4" t="s">
        <v>33</v>
      </c>
      <c r="G350" s="4" t="s">
        <v>1590</v>
      </c>
      <c r="H350" s="4" t="s">
        <v>1591</v>
      </c>
      <c r="I350" s="4" t="s">
        <v>1592</v>
      </c>
      <c r="J350" s="4" t="s">
        <v>1604</v>
      </c>
      <c r="K350" s="4" t="s">
        <v>1605</v>
      </c>
      <c r="L350" s="6" t="s">
        <v>88</v>
      </c>
    </row>
    <row r="351" spans="1:12" ht="72" customHeight="1">
      <c r="A351" s="4" t="s">
        <v>1606</v>
      </c>
      <c r="B351" s="4" t="s">
        <v>1588</v>
      </c>
      <c r="C351" s="4" t="s">
        <v>1607</v>
      </c>
      <c r="D351" s="4" t="s">
        <v>42</v>
      </c>
      <c r="E351" s="4" t="s">
        <v>33</v>
      </c>
      <c r="F351" s="4" t="s">
        <v>33</v>
      </c>
      <c r="G351" s="4" t="s">
        <v>1590</v>
      </c>
      <c r="H351" s="4" t="s">
        <v>1591</v>
      </c>
      <c r="I351" s="4" t="s">
        <v>1592</v>
      </c>
      <c r="J351" s="4" t="s">
        <v>1608</v>
      </c>
      <c r="K351" s="4" t="s">
        <v>1594</v>
      </c>
      <c r="L351" s="6" t="s">
        <v>1609</v>
      </c>
    </row>
    <row r="352" spans="1:12" ht="72" customHeight="1">
      <c r="A352" s="4" t="s">
        <v>1610</v>
      </c>
      <c r="B352" s="4" t="s">
        <v>1588</v>
      </c>
      <c r="C352" s="4" t="s">
        <v>1611</v>
      </c>
      <c r="D352" s="4" t="s">
        <v>42</v>
      </c>
      <c r="E352" s="4" t="s">
        <v>33</v>
      </c>
      <c r="F352" s="4" t="s">
        <v>33</v>
      </c>
      <c r="G352" s="4" t="s">
        <v>1590</v>
      </c>
      <c r="H352" s="4" t="s">
        <v>1591</v>
      </c>
      <c r="I352" s="4" t="s">
        <v>1592</v>
      </c>
      <c r="J352" s="4" t="s">
        <v>1612</v>
      </c>
      <c r="K352" s="4" t="s">
        <v>1613</v>
      </c>
      <c r="L352" s="6" t="s">
        <v>103</v>
      </c>
    </row>
    <row r="353" spans="1:12" ht="72" customHeight="1">
      <c r="A353" s="4" t="s">
        <v>1614</v>
      </c>
      <c r="B353" s="4" t="s">
        <v>1615</v>
      </c>
      <c r="C353" s="4" t="s">
        <v>1616</v>
      </c>
      <c r="D353" s="4" t="s">
        <v>42</v>
      </c>
      <c r="E353" s="4" t="s">
        <v>33</v>
      </c>
      <c r="F353" s="4" t="s">
        <v>33</v>
      </c>
      <c r="G353" s="4" t="s">
        <v>1617</v>
      </c>
      <c r="H353" s="4" t="s">
        <v>1618</v>
      </c>
      <c r="I353" s="4" t="s">
        <v>1619</v>
      </c>
      <c r="J353" s="4" t="s">
        <v>1620</v>
      </c>
      <c r="K353" s="4" t="s">
        <v>1621</v>
      </c>
      <c r="L353" s="6" t="s">
        <v>141</v>
      </c>
    </row>
    <row r="354" spans="1:12" ht="72" customHeight="1">
      <c r="A354" s="4" t="s">
        <v>1622</v>
      </c>
      <c r="B354" s="4" t="s">
        <v>1615</v>
      </c>
      <c r="C354" s="4" t="s">
        <v>1623</v>
      </c>
      <c r="D354" s="4" t="s">
        <v>42</v>
      </c>
      <c r="E354" s="4" t="s">
        <v>33</v>
      </c>
      <c r="F354" s="4" t="s">
        <v>33</v>
      </c>
      <c r="G354" s="4" t="s">
        <v>1617</v>
      </c>
      <c r="H354" s="4" t="s">
        <v>1618</v>
      </c>
      <c r="I354" s="4" t="s">
        <v>1619</v>
      </c>
      <c r="J354" s="4" t="s">
        <v>1624</v>
      </c>
      <c r="K354" s="4" t="s">
        <v>1625</v>
      </c>
      <c r="L354" s="6" t="s">
        <v>147</v>
      </c>
    </row>
    <row r="355" spans="1:12" ht="72" customHeight="1">
      <c r="A355" s="4" t="s">
        <v>1626</v>
      </c>
      <c r="B355" s="4" t="s">
        <v>1615</v>
      </c>
      <c r="C355" s="4" t="s">
        <v>1627</v>
      </c>
      <c r="D355" s="4" t="s">
        <v>42</v>
      </c>
      <c r="E355" s="4" t="s">
        <v>33</v>
      </c>
      <c r="F355" s="4" t="s">
        <v>33</v>
      </c>
      <c r="G355" s="4" t="s">
        <v>1617</v>
      </c>
      <c r="H355" s="4" t="s">
        <v>1618</v>
      </c>
      <c r="I355" s="4" t="s">
        <v>1619</v>
      </c>
      <c r="J355" s="4" t="s">
        <v>1628</v>
      </c>
      <c r="K355" s="4" t="s">
        <v>1629</v>
      </c>
      <c r="L355" s="6" t="s">
        <v>103</v>
      </c>
    </row>
    <row r="356" spans="1:12" ht="72" customHeight="1">
      <c r="A356" s="4" t="s">
        <v>1630</v>
      </c>
      <c r="B356" s="4" t="s">
        <v>1615</v>
      </c>
      <c r="C356" s="4" t="s">
        <v>1631</v>
      </c>
      <c r="D356" s="4" t="s">
        <v>42</v>
      </c>
      <c r="E356" s="4" t="s">
        <v>33</v>
      </c>
      <c r="F356" s="4" t="s">
        <v>33</v>
      </c>
      <c r="G356" s="4" t="s">
        <v>1617</v>
      </c>
      <c r="H356" s="4" t="s">
        <v>1618</v>
      </c>
      <c r="I356" s="4" t="s">
        <v>1619</v>
      </c>
      <c r="J356" s="4" t="s">
        <v>1632</v>
      </c>
      <c r="K356" s="4" t="s">
        <v>1633</v>
      </c>
      <c r="L356" s="6" t="s">
        <v>518</v>
      </c>
    </row>
    <row r="357" spans="1:12" ht="72" customHeight="1">
      <c r="A357" s="4" t="s">
        <v>1634</v>
      </c>
      <c r="B357" s="4" t="s">
        <v>1635</v>
      </c>
      <c r="C357" s="4" t="s">
        <v>1636</v>
      </c>
      <c r="D357" s="4" t="s">
        <v>42</v>
      </c>
      <c r="E357" s="4" t="s">
        <v>33</v>
      </c>
      <c r="F357" s="4" t="s">
        <v>33</v>
      </c>
      <c r="G357" s="4" t="s">
        <v>1637</v>
      </c>
      <c r="H357" s="4" t="s">
        <v>1638</v>
      </c>
      <c r="I357" s="4" t="s">
        <v>1639</v>
      </c>
      <c r="J357" s="4" t="s">
        <v>1640</v>
      </c>
      <c r="K357" s="4" t="s">
        <v>1641</v>
      </c>
      <c r="L357" s="6" t="s">
        <v>141</v>
      </c>
    </row>
    <row r="358" spans="1:12" ht="72" customHeight="1">
      <c r="A358" s="4" t="s">
        <v>1642</v>
      </c>
      <c r="B358" s="4" t="s">
        <v>1635</v>
      </c>
      <c r="C358" s="4" t="s">
        <v>1643</v>
      </c>
      <c r="D358" s="4" t="s">
        <v>42</v>
      </c>
      <c r="E358" s="4" t="s">
        <v>33</v>
      </c>
      <c r="F358" s="4" t="s">
        <v>33</v>
      </c>
      <c r="G358" s="4" t="s">
        <v>1637</v>
      </c>
      <c r="H358" s="4" t="s">
        <v>1638</v>
      </c>
      <c r="I358" s="4" t="s">
        <v>1639</v>
      </c>
      <c r="J358" s="4" t="s">
        <v>1644</v>
      </c>
      <c r="K358" s="4" t="s">
        <v>1645</v>
      </c>
      <c r="L358" s="6" t="s">
        <v>165</v>
      </c>
    </row>
    <row r="359" spans="1:12" ht="72" customHeight="1">
      <c r="A359" s="4" t="s">
        <v>1646</v>
      </c>
      <c r="B359" s="4" t="s">
        <v>1635</v>
      </c>
      <c r="C359" s="4" t="s">
        <v>1647</v>
      </c>
      <c r="D359" s="4" t="s">
        <v>42</v>
      </c>
      <c r="E359" s="4" t="s">
        <v>33</v>
      </c>
      <c r="F359" s="4" t="s">
        <v>33</v>
      </c>
      <c r="G359" s="4" t="s">
        <v>1637</v>
      </c>
      <c r="H359" s="4" t="s">
        <v>1638</v>
      </c>
      <c r="I359" s="4" t="s">
        <v>1639</v>
      </c>
      <c r="J359" s="4" t="s">
        <v>1648</v>
      </c>
      <c r="K359" s="4" t="s">
        <v>1645</v>
      </c>
      <c r="L359" s="6" t="s">
        <v>165</v>
      </c>
    </row>
    <row r="360" spans="1:12" ht="72" customHeight="1">
      <c r="A360" s="4" t="s">
        <v>1649</v>
      </c>
      <c r="B360" s="4" t="s">
        <v>1635</v>
      </c>
      <c r="C360" s="4" t="s">
        <v>1650</v>
      </c>
      <c r="D360" s="4" t="s">
        <v>42</v>
      </c>
      <c r="E360" s="4" t="s">
        <v>33</v>
      </c>
      <c r="F360" s="4" t="s">
        <v>33</v>
      </c>
      <c r="G360" s="4" t="s">
        <v>1637</v>
      </c>
      <c r="H360" s="4" t="s">
        <v>1638</v>
      </c>
      <c r="I360" s="4" t="s">
        <v>1639</v>
      </c>
      <c r="J360" s="4" t="s">
        <v>1651</v>
      </c>
      <c r="K360" s="4" t="s">
        <v>1652</v>
      </c>
      <c r="L360" s="6" t="s">
        <v>518</v>
      </c>
    </row>
    <row r="361" spans="1:12" ht="72" customHeight="1">
      <c r="A361" s="4" t="s">
        <v>1653</v>
      </c>
      <c r="B361" s="4" t="s">
        <v>1654</v>
      </c>
      <c r="C361" s="4" t="s">
        <v>1655</v>
      </c>
      <c r="D361" s="4" t="s">
        <v>42</v>
      </c>
      <c r="E361" s="4" t="s">
        <v>33</v>
      </c>
      <c r="F361" s="4" t="s">
        <v>33</v>
      </c>
      <c r="G361" s="4" t="s">
        <v>1656</v>
      </c>
      <c r="H361" s="4" t="s">
        <v>1657</v>
      </c>
      <c r="I361" s="4" t="s">
        <v>1658</v>
      </c>
      <c r="J361" s="4" t="s">
        <v>1659</v>
      </c>
      <c r="K361" s="4" t="s">
        <v>1660</v>
      </c>
      <c r="L361" s="6" t="s">
        <v>141</v>
      </c>
    </row>
    <row r="362" spans="1:12" ht="72" customHeight="1">
      <c r="A362" s="4" t="s">
        <v>1661</v>
      </c>
      <c r="B362" s="4" t="s">
        <v>1654</v>
      </c>
      <c r="C362" s="4" t="s">
        <v>1662</v>
      </c>
      <c r="D362" s="4" t="s">
        <v>42</v>
      </c>
      <c r="E362" s="4" t="s">
        <v>33</v>
      </c>
      <c r="F362" s="4" t="s">
        <v>33</v>
      </c>
      <c r="G362" s="4" t="s">
        <v>1656</v>
      </c>
      <c r="H362" s="4" t="s">
        <v>1657</v>
      </c>
      <c r="I362" s="4" t="s">
        <v>1658</v>
      </c>
      <c r="J362" s="4" t="s">
        <v>1663</v>
      </c>
      <c r="K362" s="4" t="s">
        <v>1664</v>
      </c>
      <c r="L362" s="6" t="s">
        <v>165</v>
      </c>
    </row>
    <row r="363" spans="1:12" ht="72" customHeight="1">
      <c r="A363" s="4" t="s">
        <v>1665</v>
      </c>
      <c r="B363" s="4" t="s">
        <v>1654</v>
      </c>
      <c r="C363" s="4" t="s">
        <v>1666</v>
      </c>
      <c r="D363" s="4" t="s">
        <v>42</v>
      </c>
      <c r="E363" s="4" t="s">
        <v>33</v>
      </c>
      <c r="F363" s="4" t="s">
        <v>33</v>
      </c>
      <c r="G363" s="4" t="s">
        <v>1656</v>
      </c>
      <c r="H363" s="4" t="s">
        <v>1657</v>
      </c>
      <c r="I363" s="4" t="s">
        <v>1658</v>
      </c>
      <c r="J363" s="4" t="s">
        <v>1667</v>
      </c>
      <c r="K363" s="4" t="s">
        <v>1664</v>
      </c>
      <c r="L363" s="6" t="s">
        <v>183</v>
      </c>
    </row>
    <row r="364" spans="1:12" ht="72" customHeight="1">
      <c r="A364" s="4" t="s">
        <v>1668</v>
      </c>
      <c r="B364" s="4" t="s">
        <v>1654</v>
      </c>
      <c r="C364" s="4" t="s">
        <v>1669</v>
      </c>
      <c r="D364" s="4" t="s">
        <v>42</v>
      </c>
      <c r="E364" s="4" t="s">
        <v>33</v>
      </c>
      <c r="F364" s="4" t="s">
        <v>33</v>
      </c>
      <c r="G364" s="4" t="s">
        <v>1656</v>
      </c>
      <c r="H364" s="4" t="s">
        <v>1657</v>
      </c>
      <c r="I364" s="4" t="s">
        <v>1658</v>
      </c>
      <c r="J364" s="4" t="s">
        <v>1670</v>
      </c>
      <c r="K364" s="4" t="s">
        <v>1664</v>
      </c>
      <c r="L364" s="6" t="s">
        <v>518</v>
      </c>
    </row>
    <row r="365" spans="1:12" ht="72" customHeight="1">
      <c r="A365" s="4" t="s">
        <v>1671</v>
      </c>
      <c r="B365" s="4" t="s">
        <v>1654</v>
      </c>
      <c r="C365" s="4" t="s">
        <v>1672</v>
      </c>
      <c r="D365" s="4" t="s">
        <v>42</v>
      </c>
      <c r="E365" s="4" t="s">
        <v>33</v>
      </c>
      <c r="F365" s="4" t="s">
        <v>33</v>
      </c>
      <c r="G365" s="4" t="s">
        <v>1656</v>
      </c>
      <c r="H365" s="4" t="s">
        <v>1657</v>
      </c>
      <c r="I365" s="4" t="s">
        <v>1658</v>
      </c>
      <c r="J365" s="4" t="s">
        <v>1673</v>
      </c>
      <c r="K365" s="4" t="s">
        <v>1674</v>
      </c>
      <c r="L365" s="6" t="s">
        <v>88</v>
      </c>
    </row>
    <row r="366" spans="1:12" ht="72" customHeight="1">
      <c r="A366" s="4" t="s">
        <v>1675</v>
      </c>
      <c r="B366" s="4" t="s">
        <v>1654</v>
      </c>
      <c r="C366" s="4" t="s">
        <v>1676</v>
      </c>
      <c r="D366" s="4" t="s">
        <v>42</v>
      </c>
      <c r="E366" s="4" t="s">
        <v>33</v>
      </c>
      <c r="F366" s="4" t="s">
        <v>33</v>
      </c>
      <c r="G366" s="4" t="s">
        <v>1656</v>
      </c>
      <c r="H366" s="4" t="s">
        <v>1657</v>
      </c>
      <c r="I366" s="4" t="s">
        <v>1658</v>
      </c>
      <c r="J366" s="4" t="s">
        <v>1677</v>
      </c>
      <c r="K366" s="4" t="s">
        <v>1678</v>
      </c>
      <c r="L366" s="6" t="s">
        <v>103</v>
      </c>
    </row>
    <row r="367" spans="1:12" ht="72" customHeight="1">
      <c r="A367" s="4" t="s">
        <v>1679</v>
      </c>
      <c r="B367" s="4" t="s">
        <v>1680</v>
      </c>
      <c r="C367" s="4" t="s">
        <v>1681</v>
      </c>
      <c r="D367" s="4" t="s">
        <v>42</v>
      </c>
      <c r="E367" s="4" t="s">
        <v>33</v>
      </c>
      <c r="F367" s="4" t="s">
        <v>33</v>
      </c>
      <c r="G367" s="4" t="s">
        <v>1682</v>
      </c>
      <c r="H367" s="4" t="s">
        <v>1683</v>
      </c>
      <c r="I367" s="4" t="s">
        <v>1684</v>
      </c>
      <c r="J367" s="4" t="s">
        <v>1685</v>
      </c>
      <c r="K367" s="4" t="s">
        <v>1686</v>
      </c>
      <c r="L367" s="6" t="s">
        <v>147</v>
      </c>
    </row>
    <row r="368" spans="1:12" ht="72" customHeight="1">
      <c r="A368" s="4" t="s">
        <v>1687</v>
      </c>
      <c r="B368" s="4" t="s">
        <v>1680</v>
      </c>
      <c r="C368" s="4" t="s">
        <v>1688</v>
      </c>
      <c r="D368" s="4" t="s">
        <v>42</v>
      </c>
      <c r="E368" s="4" t="s">
        <v>33</v>
      </c>
      <c r="F368" s="4" t="s">
        <v>33</v>
      </c>
      <c r="G368" s="4" t="s">
        <v>1682</v>
      </c>
      <c r="H368" s="4" t="s">
        <v>1683</v>
      </c>
      <c r="I368" s="4" t="s">
        <v>1684</v>
      </c>
      <c r="J368" s="4" t="s">
        <v>1689</v>
      </c>
      <c r="K368" s="4" t="s">
        <v>1690</v>
      </c>
      <c r="L368" s="6" t="s">
        <v>183</v>
      </c>
    </row>
    <row r="369" spans="1:12" ht="72" customHeight="1">
      <c r="A369" s="4" t="s">
        <v>1691</v>
      </c>
      <c r="B369" s="4" t="s">
        <v>1680</v>
      </c>
      <c r="C369" s="4" t="s">
        <v>1692</v>
      </c>
      <c r="D369" s="4" t="s">
        <v>42</v>
      </c>
      <c r="E369" s="4" t="s">
        <v>33</v>
      </c>
      <c r="F369" s="4" t="s">
        <v>33</v>
      </c>
      <c r="G369" s="4" t="s">
        <v>1682</v>
      </c>
      <c r="H369" s="4" t="s">
        <v>1683</v>
      </c>
      <c r="I369" s="4" t="s">
        <v>1684</v>
      </c>
      <c r="J369" s="4" t="s">
        <v>1693</v>
      </c>
      <c r="K369" s="4" t="s">
        <v>1694</v>
      </c>
      <c r="L369" s="6" t="s">
        <v>518</v>
      </c>
    </row>
    <row r="370" spans="1:12" ht="72" customHeight="1">
      <c r="A370" s="4" t="s">
        <v>1695</v>
      </c>
      <c r="B370" s="4" t="s">
        <v>1680</v>
      </c>
      <c r="C370" s="4" t="s">
        <v>1696</v>
      </c>
      <c r="D370" s="4" t="s">
        <v>42</v>
      </c>
      <c r="E370" s="4" t="s">
        <v>33</v>
      </c>
      <c r="F370" s="4" t="s">
        <v>33</v>
      </c>
      <c r="G370" s="4" t="s">
        <v>1682</v>
      </c>
      <c r="H370" s="4" t="s">
        <v>1683</v>
      </c>
      <c r="I370" s="4" t="s">
        <v>1684</v>
      </c>
      <c r="J370" s="4" t="s">
        <v>1697</v>
      </c>
      <c r="K370" s="4" t="s">
        <v>1698</v>
      </c>
      <c r="L370" s="6" t="s">
        <v>165</v>
      </c>
    </row>
    <row r="371" spans="1:12" ht="72" customHeight="1">
      <c r="A371" s="4" t="s">
        <v>1699</v>
      </c>
      <c r="B371" s="4" t="s">
        <v>1700</v>
      </c>
      <c r="C371" s="4" t="s">
        <v>1701</v>
      </c>
      <c r="D371" s="4" t="s">
        <v>42</v>
      </c>
      <c r="E371" s="4" t="s">
        <v>33</v>
      </c>
      <c r="F371" s="4" t="s">
        <v>33</v>
      </c>
      <c r="G371" s="4" t="s">
        <v>1702</v>
      </c>
      <c r="H371" s="4" t="s">
        <v>1703</v>
      </c>
      <c r="I371" s="4" t="s">
        <v>1704</v>
      </c>
      <c r="J371" s="4" t="s">
        <v>1705</v>
      </c>
      <c r="K371" s="4" t="s">
        <v>1706</v>
      </c>
      <c r="L371" s="6" t="s">
        <v>518</v>
      </c>
    </row>
    <row r="372" spans="1:12" ht="72" customHeight="1">
      <c r="A372" s="4" t="s">
        <v>1707</v>
      </c>
      <c r="B372" s="4" t="s">
        <v>1700</v>
      </c>
      <c r="C372" s="4" t="s">
        <v>1708</v>
      </c>
      <c r="D372" s="4" t="s">
        <v>42</v>
      </c>
      <c r="E372" s="4" t="s">
        <v>33</v>
      </c>
      <c r="F372" s="4" t="s">
        <v>33</v>
      </c>
      <c r="G372" s="4" t="s">
        <v>1702</v>
      </c>
      <c r="H372" s="4" t="s">
        <v>1703</v>
      </c>
      <c r="I372" s="4" t="s">
        <v>1704</v>
      </c>
      <c r="J372" s="4" t="s">
        <v>1709</v>
      </c>
      <c r="K372" s="4" t="s">
        <v>1710</v>
      </c>
      <c r="L372" s="6" t="s">
        <v>165</v>
      </c>
    </row>
    <row r="373" spans="1:12" ht="72" customHeight="1">
      <c r="A373" s="4" t="s">
        <v>1711</v>
      </c>
      <c r="B373" s="4" t="s">
        <v>1700</v>
      </c>
      <c r="C373" s="4" t="s">
        <v>1712</v>
      </c>
      <c r="D373" s="4" t="s">
        <v>42</v>
      </c>
      <c r="E373" s="4" t="s">
        <v>33</v>
      </c>
      <c r="F373" s="4" t="s">
        <v>33</v>
      </c>
      <c r="G373" s="4" t="s">
        <v>1702</v>
      </c>
      <c r="H373" s="4" t="s">
        <v>1703</v>
      </c>
      <c r="I373" s="4" t="s">
        <v>1704</v>
      </c>
      <c r="J373" s="4" t="s">
        <v>1713</v>
      </c>
      <c r="K373" s="4" t="s">
        <v>1706</v>
      </c>
      <c r="L373" s="6" t="s">
        <v>518</v>
      </c>
    </row>
    <row r="374" spans="1:12" ht="72" customHeight="1">
      <c r="A374" s="4" t="s">
        <v>1714</v>
      </c>
      <c r="B374" s="4" t="s">
        <v>1700</v>
      </c>
      <c r="C374" s="4" t="s">
        <v>1715</v>
      </c>
      <c r="D374" s="4" t="s">
        <v>42</v>
      </c>
      <c r="E374" s="4" t="s">
        <v>33</v>
      </c>
      <c r="F374" s="4" t="s">
        <v>33</v>
      </c>
      <c r="G374" s="4" t="s">
        <v>1702</v>
      </c>
      <c r="H374" s="4" t="s">
        <v>1703</v>
      </c>
      <c r="I374" s="4" t="s">
        <v>1704</v>
      </c>
      <c r="J374" s="4" t="s">
        <v>1716</v>
      </c>
      <c r="K374" s="4" t="s">
        <v>1706</v>
      </c>
      <c r="L374" s="6" t="s">
        <v>88</v>
      </c>
    </row>
    <row r="375" spans="1:12" ht="72" customHeight="1">
      <c r="A375" s="4" t="s">
        <v>1717</v>
      </c>
      <c r="B375" s="4" t="s">
        <v>1718</v>
      </c>
      <c r="C375" s="4" t="s">
        <v>1719</v>
      </c>
      <c r="D375" s="4" t="s">
        <v>42</v>
      </c>
      <c r="E375" s="4" t="s">
        <v>33</v>
      </c>
      <c r="F375" s="4" t="s">
        <v>33</v>
      </c>
      <c r="G375" s="4" t="s">
        <v>1720</v>
      </c>
      <c r="H375" s="4" t="s">
        <v>1721</v>
      </c>
      <c r="I375" s="4" t="s">
        <v>1722</v>
      </c>
      <c r="J375" s="4" t="s">
        <v>1723</v>
      </c>
      <c r="K375" s="4" t="s">
        <v>1724</v>
      </c>
      <c r="L375" s="6" t="s">
        <v>66</v>
      </c>
    </row>
    <row r="376" spans="1:12" ht="72" customHeight="1">
      <c r="A376" s="4" t="s">
        <v>1725</v>
      </c>
      <c r="B376" s="4" t="s">
        <v>1718</v>
      </c>
      <c r="C376" s="4" t="s">
        <v>1726</v>
      </c>
      <c r="D376" s="4" t="s">
        <v>42</v>
      </c>
      <c r="E376" s="4" t="s">
        <v>33</v>
      </c>
      <c r="F376" s="4" t="s">
        <v>33</v>
      </c>
      <c r="G376" s="4" t="s">
        <v>1720</v>
      </c>
      <c r="H376" s="4" t="s">
        <v>1721</v>
      </c>
      <c r="I376" s="4" t="s">
        <v>1722</v>
      </c>
      <c r="J376" s="4" t="s">
        <v>1727</v>
      </c>
      <c r="K376" s="4" t="s">
        <v>1728</v>
      </c>
      <c r="L376" s="6" t="s">
        <v>141</v>
      </c>
    </row>
    <row r="377" spans="1:12" ht="72" customHeight="1">
      <c r="A377" s="4" t="s">
        <v>1729</v>
      </c>
      <c r="B377" s="4" t="s">
        <v>1718</v>
      </c>
      <c r="C377" s="4" t="s">
        <v>1730</v>
      </c>
      <c r="D377" s="4" t="s">
        <v>42</v>
      </c>
      <c r="E377" s="4" t="s">
        <v>33</v>
      </c>
      <c r="F377" s="4" t="s">
        <v>33</v>
      </c>
      <c r="G377" s="4" t="s">
        <v>1720</v>
      </c>
      <c r="H377" s="4" t="s">
        <v>1721</v>
      </c>
      <c r="I377" s="4" t="s">
        <v>1722</v>
      </c>
      <c r="J377" s="4" t="s">
        <v>1731</v>
      </c>
      <c r="K377" s="4" t="s">
        <v>1724</v>
      </c>
      <c r="L377" s="6" t="s">
        <v>159</v>
      </c>
    </row>
    <row r="378" spans="1:12" ht="72" customHeight="1">
      <c r="A378" s="4" t="s">
        <v>1732</v>
      </c>
      <c r="B378" s="4" t="s">
        <v>1718</v>
      </c>
      <c r="C378" s="4" t="s">
        <v>1733</v>
      </c>
      <c r="D378" s="4" t="s">
        <v>42</v>
      </c>
      <c r="E378" s="4" t="s">
        <v>33</v>
      </c>
      <c r="F378" s="4" t="s">
        <v>33</v>
      </c>
      <c r="G378" s="4" t="s">
        <v>1720</v>
      </c>
      <c r="H378" s="4" t="s">
        <v>1721</v>
      </c>
      <c r="I378" s="4" t="s">
        <v>1722</v>
      </c>
      <c r="J378" s="4" t="s">
        <v>1734</v>
      </c>
      <c r="K378" s="4" t="s">
        <v>1724</v>
      </c>
      <c r="L378" s="6" t="s">
        <v>165</v>
      </c>
    </row>
    <row r="379" spans="1:12" ht="72" customHeight="1">
      <c r="A379" s="4" t="s">
        <v>1735</v>
      </c>
      <c r="B379" s="4" t="s">
        <v>1718</v>
      </c>
      <c r="C379" s="4" t="s">
        <v>1736</v>
      </c>
      <c r="D379" s="4" t="s">
        <v>42</v>
      </c>
      <c r="E379" s="4" t="s">
        <v>33</v>
      </c>
      <c r="F379" s="4" t="s">
        <v>33</v>
      </c>
      <c r="G379" s="4" t="s">
        <v>1720</v>
      </c>
      <c r="H379" s="4" t="s">
        <v>1721</v>
      </c>
      <c r="I379" s="4" t="s">
        <v>1722</v>
      </c>
      <c r="J379" s="4" t="s">
        <v>1737</v>
      </c>
      <c r="K379" s="4" t="s">
        <v>1724</v>
      </c>
      <c r="L379" s="6" t="s">
        <v>88</v>
      </c>
    </row>
    <row r="380" spans="1:12" ht="72" customHeight="1">
      <c r="A380" s="4" t="s">
        <v>1738</v>
      </c>
      <c r="B380" s="4" t="s">
        <v>1718</v>
      </c>
      <c r="C380" s="4" t="s">
        <v>1739</v>
      </c>
      <c r="D380" s="4" t="s">
        <v>42</v>
      </c>
      <c r="E380" s="4" t="s">
        <v>33</v>
      </c>
      <c r="F380" s="4" t="s">
        <v>33</v>
      </c>
      <c r="G380" s="4" t="s">
        <v>1720</v>
      </c>
      <c r="H380" s="4" t="s">
        <v>1721</v>
      </c>
      <c r="I380" s="4" t="s">
        <v>1722</v>
      </c>
      <c r="J380" s="4" t="s">
        <v>1740</v>
      </c>
      <c r="K380" s="4" t="s">
        <v>1741</v>
      </c>
      <c r="L380" s="6" t="s">
        <v>518</v>
      </c>
    </row>
    <row r="381" spans="1:12" ht="72" customHeight="1">
      <c r="A381" s="4" t="s">
        <v>1742</v>
      </c>
      <c r="B381" s="4" t="s">
        <v>1718</v>
      </c>
      <c r="C381" s="4" t="s">
        <v>1743</v>
      </c>
      <c r="D381" s="4" t="s">
        <v>42</v>
      </c>
      <c r="E381" s="4" t="s">
        <v>33</v>
      </c>
      <c r="F381" s="4" t="s">
        <v>33</v>
      </c>
      <c r="G381" s="4" t="s">
        <v>1720</v>
      </c>
      <c r="H381" s="4" t="s">
        <v>1721</v>
      </c>
      <c r="I381" s="4" t="s">
        <v>1722</v>
      </c>
      <c r="J381" s="4" t="s">
        <v>1744</v>
      </c>
      <c r="K381" s="4" t="s">
        <v>1745</v>
      </c>
      <c r="L381" s="6" t="s">
        <v>1045</v>
      </c>
    </row>
    <row r="382" spans="1:12" ht="72" customHeight="1">
      <c r="A382" s="4" t="s">
        <v>1746</v>
      </c>
      <c r="B382" s="4" t="s">
        <v>1718</v>
      </c>
      <c r="C382" s="4" t="s">
        <v>1747</v>
      </c>
      <c r="D382" s="4" t="s">
        <v>42</v>
      </c>
      <c r="E382" s="4" t="s">
        <v>33</v>
      </c>
      <c r="F382" s="4" t="s">
        <v>33</v>
      </c>
      <c r="G382" s="4" t="s">
        <v>1720</v>
      </c>
      <c r="H382" s="4" t="s">
        <v>1721</v>
      </c>
      <c r="I382" s="4" t="s">
        <v>1722</v>
      </c>
      <c r="J382" s="4" t="s">
        <v>1748</v>
      </c>
      <c r="K382" s="4" t="s">
        <v>1724</v>
      </c>
      <c r="L382" s="6" t="s">
        <v>1749</v>
      </c>
    </row>
    <row r="383" spans="1:12" ht="72" customHeight="1">
      <c r="A383" s="4" t="s">
        <v>1750</v>
      </c>
      <c r="B383" s="4" t="s">
        <v>1718</v>
      </c>
      <c r="C383" s="4" t="s">
        <v>1751</v>
      </c>
      <c r="D383" s="4" t="s">
        <v>42</v>
      </c>
      <c r="E383" s="4" t="s">
        <v>33</v>
      </c>
      <c r="F383" s="4" t="s">
        <v>33</v>
      </c>
      <c r="G383" s="4" t="s">
        <v>1720</v>
      </c>
      <c r="H383" s="4" t="s">
        <v>1721</v>
      </c>
      <c r="I383" s="4" t="s">
        <v>1722</v>
      </c>
      <c r="J383" s="4" t="s">
        <v>1752</v>
      </c>
      <c r="K383" s="4" t="s">
        <v>1753</v>
      </c>
      <c r="L383" s="6" t="s">
        <v>103</v>
      </c>
    </row>
    <row r="384" spans="1:12" ht="72" customHeight="1">
      <c r="A384" s="4" t="s">
        <v>1754</v>
      </c>
      <c r="B384" s="4" t="s">
        <v>1755</v>
      </c>
      <c r="C384" s="4" t="s">
        <v>1756</v>
      </c>
      <c r="D384" s="4" t="s">
        <v>42</v>
      </c>
      <c r="E384" s="4" t="s">
        <v>33</v>
      </c>
      <c r="F384" s="4" t="s">
        <v>33</v>
      </c>
      <c r="G384" s="4" t="s">
        <v>1757</v>
      </c>
      <c r="H384" s="4" t="s">
        <v>1758</v>
      </c>
      <c r="I384" s="4" t="s">
        <v>1759</v>
      </c>
      <c r="J384" s="4" t="s">
        <v>1760</v>
      </c>
      <c r="K384" s="4" t="s">
        <v>1761</v>
      </c>
      <c r="L384" s="6" t="s">
        <v>66</v>
      </c>
    </row>
    <row r="385" spans="1:12" ht="72" customHeight="1">
      <c r="A385" s="4" t="s">
        <v>1762</v>
      </c>
      <c r="B385" s="4" t="s">
        <v>1755</v>
      </c>
      <c r="C385" s="4" t="s">
        <v>1763</v>
      </c>
      <c r="D385" s="4" t="s">
        <v>42</v>
      </c>
      <c r="E385" s="4" t="s">
        <v>33</v>
      </c>
      <c r="F385" s="4" t="s">
        <v>33</v>
      </c>
      <c r="G385" s="4" t="s">
        <v>1757</v>
      </c>
      <c r="H385" s="4" t="s">
        <v>1758</v>
      </c>
      <c r="I385" s="4" t="s">
        <v>1759</v>
      </c>
      <c r="J385" s="4" t="s">
        <v>1764</v>
      </c>
      <c r="K385" s="4" t="s">
        <v>1765</v>
      </c>
      <c r="L385" s="6" t="s">
        <v>103</v>
      </c>
    </row>
    <row r="386" spans="1:12" ht="72" customHeight="1">
      <c r="A386" s="4" t="s">
        <v>1766</v>
      </c>
      <c r="B386" s="4" t="s">
        <v>1755</v>
      </c>
      <c r="C386" s="4" t="s">
        <v>1767</v>
      </c>
      <c r="D386" s="4" t="s">
        <v>42</v>
      </c>
      <c r="E386" s="4" t="s">
        <v>33</v>
      </c>
      <c r="F386" s="4" t="s">
        <v>33</v>
      </c>
      <c r="G386" s="4" t="s">
        <v>1757</v>
      </c>
      <c r="H386" s="4" t="s">
        <v>1758</v>
      </c>
      <c r="I386" s="4" t="s">
        <v>1759</v>
      </c>
      <c r="J386" s="4" t="s">
        <v>1768</v>
      </c>
      <c r="K386" s="4" t="s">
        <v>1765</v>
      </c>
      <c r="L386" s="6" t="s">
        <v>88</v>
      </c>
    </row>
    <row r="387" spans="1:12" ht="72" customHeight="1">
      <c r="A387" s="4" t="s">
        <v>1769</v>
      </c>
      <c r="B387" s="4" t="s">
        <v>1755</v>
      </c>
      <c r="C387" s="4" t="s">
        <v>1770</v>
      </c>
      <c r="D387" s="4" t="s">
        <v>42</v>
      </c>
      <c r="E387" s="4" t="s">
        <v>33</v>
      </c>
      <c r="F387" s="4" t="s">
        <v>33</v>
      </c>
      <c r="G387" s="4" t="s">
        <v>1757</v>
      </c>
      <c r="H387" s="4" t="s">
        <v>1758</v>
      </c>
      <c r="I387" s="4" t="s">
        <v>1759</v>
      </c>
      <c r="J387" s="4" t="s">
        <v>1771</v>
      </c>
      <c r="K387" s="4" t="s">
        <v>1772</v>
      </c>
      <c r="L387" s="6" t="s">
        <v>183</v>
      </c>
    </row>
    <row r="388" spans="1:12" ht="72" customHeight="1">
      <c r="A388" s="4" t="s">
        <v>1773</v>
      </c>
      <c r="B388" s="4" t="s">
        <v>1774</v>
      </c>
      <c r="C388" s="4" t="s">
        <v>1775</v>
      </c>
      <c r="D388" s="4" t="s">
        <v>42</v>
      </c>
      <c r="E388" s="4" t="s">
        <v>33</v>
      </c>
      <c r="F388" s="4" t="s">
        <v>33</v>
      </c>
      <c r="G388" s="4" t="s">
        <v>1776</v>
      </c>
      <c r="H388" s="4" t="s">
        <v>1777</v>
      </c>
      <c r="I388" s="4" t="s">
        <v>1778</v>
      </c>
      <c r="J388" s="4" t="s">
        <v>1779</v>
      </c>
      <c r="K388" s="4" t="s">
        <v>1780</v>
      </c>
      <c r="L388" s="6" t="s">
        <v>47</v>
      </c>
    </row>
    <row r="389" spans="1:12" ht="72" customHeight="1">
      <c r="A389" s="4" t="s">
        <v>1781</v>
      </c>
      <c r="B389" s="4" t="s">
        <v>1774</v>
      </c>
      <c r="C389" s="4" t="s">
        <v>1782</v>
      </c>
      <c r="D389" s="4" t="s">
        <v>42</v>
      </c>
      <c r="E389" s="4" t="s">
        <v>33</v>
      </c>
      <c r="F389" s="4" t="s">
        <v>33</v>
      </c>
      <c r="G389" s="4" t="s">
        <v>1776</v>
      </c>
      <c r="H389" s="4" t="s">
        <v>1777</v>
      </c>
      <c r="I389" s="4" t="s">
        <v>1778</v>
      </c>
      <c r="J389" s="4" t="s">
        <v>1783</v>
      </c>
      <c r="K389" s="4" t="s">
        <v>1780</v>
      </c>
      <c r="L389" s="6" t="s">
        <v>518</v>
      </c>
    </row>
    <row r="390" spans="1:12" ht="72" customHeight="1">
      <c r="A390" s="4" t="s">
        <v>1784</v>
      </c>
      <c r="B390" s="4" t="s">
        <v>1774</v>
      </c>
      <c r="C390" s="4" t="s">
        <v>1785</v>
      </c>
      <c r="D390" s="4" t="s">
        <v>42</v>
      </c>
      <c r="E390" s="4" t="s">
        <v>33</v>
      </c>
      <c r="F390" s="4" t="s">
        <v>33</v>
      </c>
      <c r="G390" s="4" t="s">
        <v>1776</v>
      </c>
      <c r="H390" s="4" t="s">
        <v>1777</v>
      </c>
      <c r="I390" s="4" t="s">
        <v>1778</v>
      </c>
      <c r="J390" s="4" t="s">
        <v>1786</v>
      </c>
      <c r="K390" s="4" t="s">
        <v>1780</v>
      </c>
      <c r="L390" s="6" t="s">
        <v>1749</v>
      </c>
    </row>
    <row r="391" spans="1:12" ht="72" customHeight="1">
      <c r="A391" s="4" t="s">
        <v>1787</v>
      </c>
      <c r="B391" s="4" t="s">
        <v>1774</v>
      </c>
      <c r="C391" s="4" t="s">
        <v>1788</v>
      </c>
      <c r="D391" s="4" t="s">
        <v>42</v>
      </c>
      <c r="E391" s="4" t="s">
        <v>33</v>
      </c>
      <c r="F391" s="4" t="s">
        <v>33</v>
      </c>
      <c r="G391" s="4" t="s">
        <v>1776</v>
      </c>
      <c r="H391" s="4" t="s">
        <v>1777</v>
      </c>
      <c r="I391" s="4" t="s">
        <v>1778</v>
      </c>
      <c r="J391" s="4" t="s">
        <v>1789</v>
      </c>
      <c r="K391" s="4" t="s">
        <v>1790</v>
      </c>
      <c r="L391" s="6" t="s">
        <v>518</v>
      </c>
    </row>
    <row r="392" spans="1:12" ht="72" customHeight="1">
      <c r="A392" s="4" t="s">
        <v>1791</v>
      </c>
      <c r="B392" s="4" t="s">
        <v>1774</v>
      </c>
      <c r="C392" s="4" t="s">
        <v>1792</v>
      </c>
      <c r="D392" s="4" t="s">
        <v>42</v>
      </c>
      <c r="E392" s="4" t="s">
        <v>33</v>
      </c>
      <c r="F392" s="4" t="s">
        <v>33</v>
      </c>
      <c r="G392" s="4" t="s">
        <v>1776</v>
      </c>
      <c r="H392" s="4" t="s">
        <v>1777</v>
      </c>
      <c r="I392" s="4" t="s">
        <v>1778</v>
      </c>
      <c r="J392" s="4" t="s">
        <v>1793</v>
      </c>
      <c r="K392" s="4" t="s">
        <v>1780</v>
      </c>
      <c r="L392" s="6" t="s">
        <v>1749</v>
      </c>
    </row>
    <row r="393" spans="1:12" ht="72" customHeight="1">
      <c r="A393" s="4" t="s">
        <v>1794</v>
      </c>
      <c r="B393" s="4" t="s">
        <v>1774</v>
      </c>
      <c r="C393" s="4" t="s">
        <v>1795</v>
      </c>
      <c r="D393" s="4" t="s">
        <v>42</v>
      </c>
      <c r="E393" s="4" t="s">
        <v>33</v>
      </c>
      <c r="F393" s="4" t="s">
        <v>33</v>
      </c>
      <c r="G393" s="4" t="s">
        <v>1776</v>
      </c>
      <c r="H393" s="4" t="s">
        <v>1777</v>
      </c>
      <c r="I393" s="4" t="s">
        <v>1778</v>
      </c>
      <c r="J393" s="4" t="s">
        <v>1796</v>
      </c>
      <c r="K393" s="4" t="s">
        <v>1780</v>
      </c>
      <c r="L393" s="6" t="s">
        <v>88</v>
      </c>
    </row>
    <row r="394" spans="1:12" ht="72" customHeight="1">
      <c r="A394" s="4" t="s">
        <v>1797</v>
      </c>
      <c r="B394" s="4" t="s">
        <v>1774</v>
      </c>
      <c r="C394" s="4" t="s">
        <v>1798</v>
      </c>
      <c r="D394" s="4" t="s">
        <v>42</v>
      </c>
      <c r="E394" s="4" t="s">
        <v>33</v>
      </c>
      <c r="F394" s="4" t="s">
        <v>33</v>
      </c>
      <c r="G394" s="4" t="s">
        <v>1776</v>
      </c>
      <c r="H394" s="4" t="s">
        <v>1777</v>
      </c>
      <c r="I394" s="4" t="s">
        <v>1778</v>
      </c>
      <c r="J394" s="4" t="s">
        <v>1799</v>
      </c>
      <c r="K394" s="4" t="s">
        <v>1800</v>
      </c>
      <c r="L394" s="6" t="s">
        <v>518</v>
      </c>
    </row>
    <row r="395" spans="1:12" ht="72" customHeight="1">
      <c r="A395" s="4" t="s">
        <v>1801</v>
      </c>
      <c r="B395" s="4" t="s">
        <v>1774</v>
      </c>
      <c r="C395" s="4" t="s">
        <v>1802</v>
      </c>
      <c r="D395" s="4" t="s">
        <v>42</v>
      </c>
      <c r="E395" s="4" t="s">
        <v>33</v>
      </c>
      <c r="F395" s="4" t="s">
        <v>33</v>
      </c>
      <c r="G395" s="4" t="s">
        <v>1776</v>
      </c>
      <c r="H395" s="4" t="s">
        <v>1777</v>
      </c>
      <c r="I395" s="4" t="s">
        <v>1778</v>
      </c>
      <c r="J395" s="4" t="s">
        <v>1803</v>
      </c>
      <c r="K395" s="4" t="s">
        <v>1780</v>
      </c>
      <c r="L395" s="6" t="s">
        <v>1749</v>
      </c>
    </row>
    <row r="396" spans="1:12" ht="72" customHeight="1">
      <c r="A396" s="4" t="s">
        <v>1804</v>
      </c>
      <c r="B396" s="4" t="s">
        <v>1774</v>
      </c>
      <c r="C396" s="4" t="s">
        <v>1805</v>
      </c>
      <c r="D396" s="4" t="s">
        <v>42</v>
      </c>
      <c r="E396" s="4" t="s">
        <v>33</v>
      </c>
      <c r="F396" s="4" t="s">
        <v>33</v>
      </c>
      <c r="G396" s="4" t="s">
        <v>1776</v>
      </c>
      <c r="H396" s="4" t="s">
        <v>1777</v>
      </c>
      <c r="I396" s="4" t="s">
        <v>1778</v>
      </c>
      <c r="J396" s="4" t="s">
        <v>1806</v>
      </c>
      <c r="K396" s="4" t="s">
        <v>1807</v>
      </c>
      <c r="L396" s="6" t="s">
        <v>165</v>
      </c>
    </row>
    <row r="397" spans="1:12" ht="72" customHeight="1">
      <c r="A397" s="4" t="s">
        <v>1808</v>
      </c>
      <c r="B397" s="4" t="s">
        <v>1774</v>
      </c>
      <c r="C397" s="4" t="s">
        <v>1809</v>
      </c>
      <c r="D397" s="4" t="s">
        <v>42</v>
      </c>
      <c r="E397" s="4" t="s">
        <v>33</v>
      </c>
      <c r="F397" s="4" t="s">
        <v>33</v>
      </c>
      <c r="G397" s="4" t="s">
        <v>1776</v>
      </c>
      <c r="H397" s="4" t="s">
        <v>1777</v>
      </c>
      <c r="I397" s="4" t="s">
        <v>1778</v>
      </c>
      <c r="J397" s="4" t="s">
        <v>1810</v>
      </c>
      <c r="K397" s="4" t="s">
        <v>1811</v>
      </c>
      <c r="L397" s="6" t="s">
        <v>165</v>
      </c>
    </row>
    <row r="398" spans="1:12" ht="72" customHeight="1">
      <c r="A398" s="4" t="s">
        <v>1812</v>
      </c>
      <c r="B398" s="4" t="s">
        <v>1774</v>
      </c>
      <c r="C398" s="4" t="s">
        <v>1813</v>
      </c>
      <c r="D398" s="4" t="s">
        <v>42</v>
      </c>
      <c r="E398" s="4" t="s">
        <v>33</v>
      </c>
      <c r="F398" s="4" t="s">
        <v>33</v>
      </c>
      <c r="G398" s="4" t="s">
        <v>1776</v>
      </c>
      <c r="H398" s="4" t="s">
        <v>1777</v>
      </c>
      <c r="I398" s="4" t="s">
        <v>1778</v>
      </c>
      <c r="J398" s="4" t="s">
        <v>1814</v>
      </c>
      <c r="K398" s="4" t="s">
        <v>1780</v>
      </c>
      <c r="L398" s="6" t="s">
        <v>165</v>
      </c>
    </row>
    <row r="399" spans="1:12" ht="72" customHeight="1">
      <c r="A399" s="4" t="s">
        <v>1815</v>
      </c>
      <c r="B399" s="4" t="s">
        <v>1774</v>
      </c>
      <c r="C399" s="4" t="s">
        <v>1816</v>
      </c>
      <c r="D399" s="4" t="s">
        <v>42</v>
      </c>
      <c r="E399" s="4" t="s">
        <v>33</v>
      </c>
      <c r="F399" s="4" t="s">
        <v>33</v>
      </c>
      <c r="G399" s="4" t="s">
        <v>1776</v>
      </c>
      <c r="H399" s="4" t="s">
        <v>1777</v>
      </c>
      <c r="I399" s="4" t="s">
        <v>1778</v>
      </c>
      <c r="J399" s="4" t="s">
        <v>1817</v>
      </c>
      <c r="K399" s="4" t="s">
        <v>1818</v>
      </c>
      <c r="L399" s="6" t="s">
        <v>116</v>
      </c>
    </row>
    <row r="400" spans="1:12" ht="72" customHeight="1">
      <c r="A400" s="4" t="s">
        <v>1819</v>
      </c>
      <c r="B400" s="4" t="s">
        <v>1774</v>
      </c>
      <c r="C400" s="4" t="s">
        <v>1820</v>
      </c>
      <c r="D400" s="4" t="s">
        <v>42</v>
      </c>
      <c r="E400" s="4" t="s">
        <v>33</v>
      </c>
      <c r="F400" s="4" t="s">
        <v>33</v>
      </c>
      <c r="G400" s="4" t="s">
        <v>1776</v>
      </c>
      <c r="H400" s="4" t="s">
        <v>1777</v>
      </c>
      <c r="I400" s="4" t="s">
        <v>1778</v>
      </c>
      <c r="J400" s="4" t="s">
        <v>1821</v>
      </c>
      <c r="K400" s="4" t="s">
        <v>1822</v>
      </c>
      <c r="L400" s="6" t="s">
        <v>103</v>
      </c>
    </row>
    <row r="401" spans="1:12" ht="72" customHeight="1">
      <c r="A401" s="4" t="s">
        <v>1823</v>
      </c>
      <c r="B401" s="4" t="s">
        <v>1774</v>
      </c>
      <c r="C401" s="4" t="s">
        <v>1824</v>
      </c>
      <c r="D401" s="4" t="s">
        <v>42</v>
      </c>
      <c r="E401" s="4" t="s">
        <v>33</v>
      </c>
      <c r="F401" s="4" t="s">
        <v>33</v>
      </c>
      <c r="G401" s="4" t="s">
        <v>1776</v>
      </c>
      <c r="H401" s="4" t="s">
        <v>1777</v>
      </c>
      <c r="I401" s="4" t="s">
        <v>1778</v>
      </c>
      <c r="J401" s="4" t="s">
        <v>1825</v>
      </c>
      <c r="K401" s="4" t="s">
        <v>1822</v>
      </c>
      <c r="L401" s="6" t="s">
        <v>103</v>
      </c>
    </row>
    <row r="402" spans="1:12" ht="72" customHeight="1">
      <c r="A402" s="4" t="s">
        <v>1826</v>
      </c>
      <c r="B402" s="4" t="s">
        <v>1827</v>
      </c>
      <c r="C402" s="4" t="s">
        <v>1828</v>
      </c>
      <c r="D402" s="4" t="s">
        <v>42</v>
      </c>
      <c r="E402" s="4" t="s">
        <v>33</v>
      </c>
      <c r="F402" s="4" t="s">
        <v>33</v>
      </c>
      <c r="G402" s="4" t="s">
        <v>1829</v>
      </c>
      <c r="H402" s="4" t="s">
        <v>1830</v>
      </c>
      <c r="I402" s="4" t="s">
        <v>1831</v>
      </c>
      <c r="J402" s="4" t="s">
        <v>1832</v>
      </c>
      <c r="K402" s="4" t="s">
        <v>1833</v>
      </c>
      <c r="L402" s="6" t="s">
        <v>518</v>
      </c>
    </row>
    <row r="403" spans="1:12" ht="72" customHeight="1">
      <c r="A403" s="4" t="s">
        <v>1834</v>
      </c>
      <c r="B403" s="4" t="s">
        <v>1827</v>
      </c>
      <c r="C403" s="4" t="s">
        <v>1835</v>
      </c>
      <c r="D403" s="4" t="s">
        <v>42</v>
      </c>
      <c r="E403" s="4" t="s">
        <v>33</v>
      </c>
      <c r="F403" s="4" t="s">
        <v>33</v>
      </c>
      <c r="G403" s="4" t="s">
        <v>1829</v>
      </c>
      <c r="H403" s="4" t="s">
        <v>1830</v>
      </c>
      <c r="I403" s="4" t="s">
        <v>1831</v>
      </c>
      <c r="J403" s="4" t="s">
        <v>1836</v>
      </c>
      <c r="K403" s="4" t="s">
        <v>1837</v>
      </c>
      <c r="L403" s="6" t="s">
        <v>1749</v>
      </c>
    </row>
    <row r="404" spans="1:12" ht="72" customHeight="1">
      <c r="A404" s="4" t="s">
        <v>1838</v>
      </c>
      <c r="B404" s="4" t="s">
        <v>1827</v>
      </c>
      <c r="C404" s="4" t="s">
        <v>1839</v>
      </c>
      <c r="D404" s="4" t="s">
        <v>42</v>
      </c>
      <c r="E404" s="4" t="s">
        <v>33</v>
      </c>
      <c r="F404" s="4" t="s">
        <v>33</v>
      </c>
      <c r="G404" s="4" t="s">
        <v>1829</v>
      </c>
      <c r="H404" s="4" t="s">
        <v>1830</v>
      </c>
      <c r="I404" s="4" t="s">
        <v>1831</v>
      </c>
      <c r="J404" s="4" t="s">
        <v>1840</v>
      </c>
      <c r="K404" s="4" t="s">
        <v>1841</v>
      </c>
      <c r="L404" s="6" t="s">
        <v>116</v>
      </c>
    </row>
    <row r="405" spans="1:12" ht="72" customHeight="1">
      <c r="A405" s="4" t="s">
        <v>1842</v>
      </c>
      <c r="B405" s="4" t="s">
        <v>1843</v>
      </c>
      <c r="C405" s="4" t="s">
        <v>1844</v>
      </c>
      <c r="D405" s="4" t="s">
        <v>42</v>
      </c>
      <c r="E405" s="4" t="s">
        <v>33</v>
      </c>
      <c r="F405" s="4" t="s">
        <v>33</v>
      </c>
      <c r="G405" s="4" t="s">
        <v>1829</v>
      </c>
      <c r="H405" s="4" t="s">
        <v>1845</v>
      </c>
      <c r="I405" s="4" t="s">
        <v>1846</v>
      </c>
      <c r="J405" s="4" t="s">
        <v>1847</v>
      </c>
      <c r="K405" s="4" t="s">
        <v>1848</v>
      </c>
      <c r="L405" s="6" t="s">
        <v>39</v>
      </c>
    </row>
    <row r="406" spans="1:12" ht="72" customHeight="1">
      <c r="A406" s="4" t="s">
        <v>1849</v>
      </c>
      <c r="B406" s="4" t="s">
        <v>1843</v>
      </c>
      <c r="C406" s="4" t="s">
        <v>1850</v>
      </c>
      <c r="D406" s="4" t="s">
        <v>42</v>
      </c>
      <c r="E406" s="4" t="s">
        <v>33</v>
      </c>
      <c r="F406" s="4" t="s">
        <v>33</v>
      </c>
      <c r="G406" s="4" t="s">
        <v>1829</v>
      </c>
      <c r="H406" s="4" t="s">
        <v>1845</v>
      </c>
      <c r="I406" s="4" t="s">
        <v>1846</v>
      </c>
      <c r="J406" s="4" t="s">
        <v>1851</v>
      </c>
      <c r="K406" s="4" t="s">
        <v>1852</v>
      </c>
      <c r="L406" s="6" t="s">
        <v>103</v>
      </c>
    </row>
    <row r="407" spans="1:12" ht="72" customHeight="1">
      <c r="A407" s="4" t="s">
        <v>1853</v>
      </c>
      <c r="B407" s="4" t="s">
        <v>1854</v>
      </c>
      <c r="C407" s="4" t="s">
        <v>1855</v>
      </c>
      <c r="D407" s="4" t="s">
        <v>42</v>
      </c>
      <c r="E407" s="4" t="s">
        <v>33</v>
      </c>
      <c r="F407" s="4" t="s">
        <v>33</v>
      </c>
      <c r="G407" s="4" t="s">
        <v>1856</v>
      </c>
      <c r="H407" s="4" t="s">
        <v>1857</v>
      </c>
      <c r="I407" s="4" t="s">
        <v>1858</v>
      </c>
      <c r="J407" s="4" t="s">
        <v>1859</v>
      </c>
      <c r="K407" s="4" t="s">
        <v>1860</v>
      </c>
      <c r="L407" s="6" t="s">
        <v>39</v>
      </c>
    </row>
    <row r="408" spans="1:12" ht="72" customHeight="1">
      <c r="A408" s="4" t="s">
        <v>1861</v>
      </c>
      <c r="B408" s="4" t="s">
        <v>1854</v>
      </c>
      <c r="C408" s="4" t="s">
        <v>1862</v>
      </c>
      <c r="D408" s="4" t="s">
        <v>42</v>
      </c>
      <c r="E408" s="4" t="s">
        <v>33</v>
      </c>
      <c r="F408" s="4" t="s">
        <v>33</v>
      </c>
      <c r="G408" s="4" t="s">
        <v>1856</v>
      </c>
      <c r="H408" s="4" t="s">
        <v>1857</v>
      </c>
      <c r="I408" s="4" t="s">
        <v>1858</v>
      </c>
      <c r="J408" s="4" t="s">
        <v>1863</v>
      </c>
      <c r="K408" s="4" t="s">
        <v>1860</v>
      </c>
      <c r="L408" s="6" t="s">
        <v>159</v>
      </c>
    </row>
    <row r="409" spans="1:12" ht="72" customHeight="1">
      <c r="A409" s="4" t="s">
        <v>1864</v>
      </c>
      <c r="B409" s="4" t="s">
        <v>1854</v>
      </c>
      <c r="C409" s="4" t="s">
        <v>1865</v>
      </c>
      <c r="D409" s="4" t="s">
        <v>42</v>
      </c>
      <c r="E409" s="4" t="s">
        <v>33</v>
      </c>
      <c r="F409" s="4" t="s">
        <v>33</v>
      </c>
      <c r="G409" s="4" t="s">
        <v>1856</v>
      </c>
      <c r="H409" s="4" t="s">
        <v>1857</v>
      </c>
      <c r="I409" s="4" t="s">
        <v>1858</v>
      </c>
      <c r="J409" s="4" t="s">
        <v>1866</v>
      </c>
      <c r="K409" s="4" t="s">
        <v>1867</v>
      </c>
      <c r="L409" s="6" t="s">
        <v>88</v>
      </c>
    </row>
    <row r="410" spans="1:12" ht="72" customHeight="1">
      <c r="A410" s="4" t="s">
        <v>1868</v>
      </c>
      <c r="B410" s="4" t="s">
        <v>1869</v>
      </c>
      <c r="C410" s="4" t="s">
        <v>1870</v>
      </c>
      <c r="D410" s="4" t="s">
        <v>42</v>
      </c>
      <c r="E410" s="4" t="s">
        <v>33</v>
      </c>
      <c r="F410" s="4" t="s">
        <v>33</v>
      </c>
      <c r="G410" s="4" t="s">
        <v>1871</v>
      </c>
      <c r="H410" s="4" t="s">
        <v>1872</v>
      </c>
      <c r="I410" s="4" t="s">
        <v>1873</v>
      </c>
      <c r="J410" s="4" t="s">
        <v>1874</v>
      </c>
      <c r="K410" s="4" t="s">
        <v>1875</v>
      </c>
      <c r="L410" s="6" t="s">
        <v>159</v>
      </c>
    </row>
    <row r="411" spans="1:12" ht="72" customHeight="1">
      <c r="A411" s="4" t="s">
        <v>1876</v>
      </c>
      <c r="B411" s="4" t="s">
        <v>1869</v>
      </c>
      <c r="C411" s="4" t="s">
        <v>1877</v>
      </c>
      <c r="D411" s="4" t="s">
        <v>42</v>
      </c>
      <c r="E411" s="4" t="s">
        <v>33</v>
      </c>
      <c r="F411" s="4" t="s">
        <v>33</v>
      </c>
      <c r="G411" s="4" t="s">
        <v>1871</v>
      </c>
      <c r="H411" s="4" t="s">
        <v>1872</v>
      </c>
      <c r="I411" s="4" t="s">
        <v>1873</v>
      </c>
      <c r="J411" s="4" t="s">
        <v>1878</v>
      </c>
      <c r="K411" s="4" t="s">
        <v>1879</v>
      </c>
      <c r="L411" s="6" t="s">
        <v>1880</v>
      </c>
    </row>
    <row r="412" spans="1:12" ht="72" customHeight="1">
      <c r="A412" s="4" t="s">
        <v>1881</v>
      </c>
      <c r="B412" s="4" t="s">
        <v>1869</v>
      </c>
      <c r="C412" s="4" t="s">
        <v>1882</v>
      </c>
      <c r="D412" s="4" t="s">
        <v>42</v>
      </c>
      <c r="E412" s="4" t="s">
        <v>33</v>
      </c>
      <c r="F412" s="4" t="s">
        <v>33</v>
      </c>
      <c r="G412" s="4" t="s">
        <v>1871</v>
      </c>
      <c r="H412" s="4" t="s">
        <v>1872</v>
      </c>
      <c r="I412" s="4" t="s">
        <v>1873</v>
      </c>
      <c r="J412" s="4" t="s">
        <v>1883</v>
      </c>
      <c r="K412" s="4" t="s">
        <v>1875</v>
      </c>
      <c r="L412" s="6" t="s">
        <v>518</v>
      </c>
    </row>
    <row r="413" spans="1:12" ht="72" customHeight="1">
      <c r="A413" s="4" t="s">
        <v>1884</v>
      </c>
      <c r="B413" s="4" t="s">
        <v>1869</v>
      </c>
      <c r="C413" s="4" t="s">
        <v>1885</v>
      </c>
      <c r="D413" s="4" t="s">
        <v>42</v>
      </c>
      <c r="E413" s="4" t="s">
        <v>33</v>
      </c>
      <c r="F413" s="4" t="s">
        <v>33</v>
      </c>
      <c r="G413" s="4" t="s">
        <v>1871</v>
      </c>
      <c r="H413" s="4" t="s">
        <v>1872</v>
      </c>
      <c r="I413" s="4" t="s">
        <v>1873</v>
      </c>
      <c r="J413" s="4" t="s">
        <v>1886</v>
      </c>
      <c r="K413" s="4" t="s">
        <v>1887</v>
      </c>
      <c r="L413" s="6" t="s">
        <v>103</v>
      </c>
    </row>
    <row r="414" spans="1:12" ht="72" customHeight="1">
      <c r="A414" s="4" t="s">
        <v>1888</v>
      </c>
      <c r="B414" s="4" t="s">
        <v>1869</v>
      </c>
      <c r="C414" s="4" t="s">
        <v>1889</v>
      </c>
      <c r="D414" s="4" t="s">
        <v>42</v>
      </c>
      <c r="E414" s="4" t="s">
        <v>33</v>
      </c>
      <c r="F414" s="4" t="s">
        <v>33</v>
      </c>
      <c r="G414" s="4" t="s">
        <v>1871</v>
      </c>
      <c r="H414" s="4" t="s">
        <v>1872</v>
      </c>
      <c r="I414" s="4" t="s">
        <v>1873</v>
      </c>
      <c r="J414" s="4" t="s">
        <v>1890</v>
      </c>
      <c r="K414" s="4" t="s">
        <v>1875</v>
      </c>
      <c r="L414" s="6" t="s">
        <v>88</v>
      </c>
    </row>
    <row r="415" spans="1:12" ht="72" customHeight="1">
      <c r="A415" s="4" t="s">
        <v>1891</v>
      </c>
      <c r="B415" s="4" t="s">
        <v>1869</v>
      </c>
      <c r="C415" s="4" t="s">
        <v>1892</v>
      </c>
      <c r="D415" s="4" t="s">
        <v>42</v>
      </c>
      <c r="E415" s="4" t="s">
        <v>33</v>
      </c>
      <c r="F415" s="4" t="s">
        <v>33</v>
      </c>
      <c r="G415" s="4" t="s">
        <v>1871</v>
      </c>
      <c r="H415" s="4" t="s">
        <v>1872</v>
      </c>
      <c r="I415" s="4" t="s">
        <v>1873</v>
      </c>
      <c r="J415" s="4" t="s">
        <v>1893</v>
      </c>
      <c r="K415" s="4" t="s">
        <v>1875</v>
      </c>
      <c r="L415" s="6" t="s">
        <v>307</v>
      </c>
    </row>
    <row r="416" spans="1:12" ht="72" customHeight="1">
      <c r="A416" s="4" t="s">
        <v>1894</v>
      </c>
      <c r="B416" s="4" t="s">
        <v>1895</v>
      </c>
      <c r="C416" s="4" t="s">
        <v>1896</v>
      </c>
      <c r="D416" s="4" t="s">
        <v>42</v>
      </c>
      <c r="E416" s="4" t="s">
        <v>33</v>
      </c>
      <c r="F416" s="4" t="s">
        <v>33</v>
      </c>
      <c r="G416" s="4" t="s">
        <v>1897</v>
      </c>
      <c r="H416" s="4" t="s">
        <v>1898</v>
      </c>
      <c r="I416" s="4" t="s">
        <v>1899</v>
      </c>
      <c r="J416" s="4" t="s">
        <v>1900</v>
      </c>
      <c r="K416" s="4" t="s">
        <v>1901</v>
      </c>
      <c r="L416" s="6" t="s">
        <v>47</v>
      </c>
    </row>
    <row r="417" spans="1:12" ht="72" customHeight="1">
      <c r="A417" s="4" t="s">
        <v>1902</v>
      </c>
      <c r="B417" s="4" t="s">
        <v>1895</v>
      </c>
      <c r="C417" s="4" t="s">
        <v>1903</v>
      </c>
      <c r="D417" s="4" t="s">
        <v>42</v>
      </c>
      <c r="E417" s="4" t="s">
        <v>33</v>
      </c>
      <c r="F417" s="4" t="s">
        <v>33</v>
      </c>
      <c r="G417" s="4" t="s">
        <v>1897</v>
      </c>
      <c r="H417" s="4" t="s">
        <v>1898</v>
      </c>
      <c r="I417" s="4" t="s">
        <v>1899</v>
      </c>
      <c r="J417" s="4" t="s">
        <v>1904</v>
      </c>
      <c r="K417" s="4" t="s">
        <v>1905</v>
      </c>
      <c r="L417" s="6" t="s">
        <v>159</v>
      </c>
    </row>
    <row r="418" spans="1:12" ht="72" customHeight="1">
      <c r="A418" s="4" t="s">
        <v>1906</v>
      </c>
      <c r="B418" s="4" t="s">
        <v>1895</v>
      </c>
      <c r="C418" s="4" t="s">
        <v>1907</v>
      </c>
      <c r="D418" s="4" t="s">
        <v>42</v>
      </c>
      <c r="E418" s="4" t="s">
        <v>33</v>
      </c>
      <c r="F418" s="4" t="s">
        <v>33</v>
      </c>
      <c r="G418" s="4" t="s">
        <v>1897</v>
      </c>
      <c r="H418" s="4" t="s">
        <v>1898</v>
      </c>
      <c r="I418" s="4" t="s">
        <v>1899</v>
      </c>
      <c r="J418" s="4" t="s">
        <v>1908</v>
      </c>
      <c r="K418" s="4" t="s">
        <v>1905</v>
      </c>
      <c r="L418" s="6" t="s">
        <v>88</v>
      </c>
    </row>
    <row r="419" spans="1:12" ht="72" customHeight="1">
      <c r="A419" s="4" t="s">
        <v>1909</v>
      </c>
      <c r="B419" s="4" t="s">
        <v>1895</v>
      </c>
      <c r="C419" s="4" t="s">
        <v>1910</v>
      </c>
      <c r="D419" s="4" t="s">
        <v>42</v>
      </c>
      <c r="E419" s="4" t="s">
        <v>33</v>
      </c>
      <c r="F419" s="4" t="s">
        <v>33</v>
      </c>
      <c r="G419" s="4" t="s">
        <v>1897</v>
      </c>
      <c r="H419" s="4" t="s">
        <v>1898</v>
      </c>
      <c r="I419" s="4" t="s">
        <v>1899</v>
      </c>
      <c r="J419" s="4" t="s">
        <v>1911</v>
      </c>
      <c r="K419" s="4" t="s">
        <v>1912</v>
      </c>
      <c r="L419" s="6" t="s">
        <v>183</v>
      </c>
    </row>
    <row r="420" spans="1:12" ht="72" customHeight="1">
      <c r="A420" s="4" t="s">
        <v>1913</v>
      </c>
      <c r="B420" s="4" t="s">
        <v>1895</v>
      </c>
      <c r="C420" s="4" t="s">
        <v>1914</v>
      </c>
      <c r="D420" s="4" t="s">
        <v>42</v>
      </c>
      <c r="E420" s="4" t="s">
        <v>33</v>
      </c>
      <c r="F420" s="4" t="s">
        <v>33</v>
      </c>
      <c r="G420" s="4" t="s">
        <v>1897</v>
      </c>
      <c r="H420" s="4" t="s">
        <v>1898</v>
      </c>
      <c r="I420" s="4" t="s">
        <v>1899</v>
      </c>
      <c r="J420" s="4" t="s">
        <v>1915</v>
      </c>
      <c r="K420" s="4" t="s">
        <v>1916</v>
      </c>
      <c r="L420" s="6" t="s">
        <v>165</v>
      </c>
    </row>
    <row r="421" spans="1:12" ht="72" customHeight="1">
      <c r="A421" s="4" t="s">
        <v>1917</v>
      </c>
      <c r="B421" s="4" t="s">
        <v>1918</v>
      </c>
      <c r="C421" s="4" t="s">
        <v>1919</v>
      </c>
      <c r="D421" s="4" t="s">
        <v>42</v>
      </c>
      <c r="E421" s="4" t="s">
        <v>33</v>
      </c>
      <c r="F421" s="4" t="s">
        <v>33</v>
      </c>
      <c r="G421" s="4" t="s">
        <v>1920</v>
      </c>
      <c r="H421" s="4" t="s">
        <v>1921</v>
      </c>
      <c r="I421" s="4" t="s">
        <v>1922</v>
      </c>
      <c r="J421" s="4" t="s">
        <v>1923</v>
      </c>
      <c r="K421" s="4" t="s">
        <v>1924</v>
      </c>
      <c r="L421" s="6" t="s">
        <v>147</v>
      </c>
    </row>
    <row r="422" spans="1:12" ht="72" customHeight="1">
      <c r="A422" s="4" t="s">
        <v>1925</v>
      </c>
      <c r="B422" s="4" t="s">
        <v>1918</v>
      </c>
      <c r="C422" s="4" t="s">
        <v>1926</v>
      </c>
      <c r="D422" s="4" t="s">
        <v>42</v>
      </c>
      <c r="E422" s="4" t="s">
        <v>33</v>
      </c>
      <c r="F422" s="4" t="s">
        <v>33</v>
      </c>
      <c r="G422" s="4" t="s">
        <v>1920</v>
      </c>
      <c r="H422" s="4" t="s">
        <v>1921</v>
      </c>
      <c r="I422" s="4" t="s">
        <v>1922</v>
      </c>
      <c r="J422" s="4" t="s">
        <v>1927</v>
      </c>
      <c r="K422" s="4" t="s">
        <v>1928</v>
      </c>
      <c r="L422" s="6" t="s">
        <v>88</v>
      </c>
    </row>
    <row r="423" spans="1:12" ht="72" customHeight="1">
      <c r="A423" s="4" t="s">
        <v>1929</v>
      </c>
      <c r="B423" s="4" t="s">
        <v>1918</v>
      </c>
      <c r="C423" s="4" t="s">
        <v>1930</v>
      </c>
      <c r="D423" s="4" t="s">
        <v>42</v>
      </c>
      <c r="E423" s="4" t="s">
        <v>33</v>
      </c>
      <c r="F423" s="4" t="s">
        <v>33</v>
      </c>
      <c r="G423" s="4" t="s">
        <v>1920</v>
      </c>
      <c r="H423" s="4" t="s">
        <v>1921</v>
      </c>
      <c r="I423" s="4" t="s">
        <v>1922</v>
      </c>
      <c r="J423" s="4" t="s">
        <v>1931</v>
      </c>
      <c r="K423" s="4" t="s">
        <v>1932</v>
      </c>
      <c r="L423" s="6" t="s">
        <v>103</v>
      </c>
    </row>
    <row r="424" spans="1:12" ht="72" customHeight="1">
      <c r="A424" s="4" t="s">
        <v>1933</v>
      </c>
      <c r="B424" s="4" t="s">
        <v>1918</v>
      </c>
      <c r="C424" s="4" t="s">
        <v>1934</v>
      </c>
      <c r="D424" s="4" t="s">
        <v>42</v>
      </c>
      <c r="E424" s="4" t="s">
        <v>33</v>
      </c>
      <c r="F424" s="4" t="s">
        <v>33</v>
      </c>
      <c r="G424" s="4" t="s">
        <v>1920</v>
      </c>
      <c r="H424" s="4" t="s">
        <v>1921</v>
      </c>
      <c r="I424" s="4" t="s">
        <v>1922</v>
      </c>
      <c r="J424" s="4" t="s">
        <v>1935</v>
      </c>
      <c r="K424" s="4" t="s">
        <v>1936</v>
      </c>
      <c r="L424" s="6" t="s">
        <v>116</v>
      </c>
    </row>
    <row r="425" spans="1:12" ht="72" customHeight="1">
      <c r="A425" s="4" t="s">
        <v>1937</v>
      </c>
      <c r="B425" s="4" t="s">
        <v>1938</v>
      </c>
      <c r="C425" s="4" t="s">
        <v>1939</v>
      </c>
      <c r="D425" s="4" t="s">
        <v>42</v>
      </c>
      <c r="E425" s="4" t="s">
        <v>33</v>
      </c>
      <c r="F425" s="4" t="s">
        <v>33</v>
      </c>
      <c r="G425" s="4" t="s">
        <v>1940</v>
      </c>
      <c r="H425" s="4" t="s">
        <v>1941</v>
      </c>
      <c r="I425" s="4" t="s">
        <v>1942</v>
      </c>
      <c r="J425" s="4" t="s">
        <v>1943</v>
      </c>
      <c r="K425" s="4" t="s">
        <v>1944</v>
      </c>
      <c r="L425" s="6" t="s">
        <v>147</v>
      </c>
    </row>
    <row r="426" spans="1:12" ht="72" customHeight="1">
      <c r="A426" s="4" t="s">
        <v>1945</v>
      </c>
      <c r="B426" s="4" t="s">
        <v>1938</v>
      </c>
      <c r="C426" s="4" t="s">
        <v>1946</v>
      </c>
      <c r="D426" s="4" t="s">
        <v>42</v>
      </c>
      <c r="E426" s="4" t="s">
        <v>33</v>
      </c>
      <c r="F426" s="4" t="s">
        <v>33</v>
      </c>
      <c r="G426" s="4" t="s">
        <v>1940</v>
      </c>
      <c r="H426" s="4" t="s">
        <v>1941</v>
      </c>
      <c r="I426" s="4" t="s">
        <v>1942</v>
      </c>
      <c r="J426" s="4" t="s">
        <v>1947</v>
      </c>
      <c r="K426" s="4" t="s">
        <v>1948</v>
      </c>
      <c r="L426" s="6" t="s">
        <v>88</v>
      </c>
    </row>
    <row r="427" spans="1:12" ht="72" customHeight="1">
      <c r="A427" s="4" t="s">
        <v>1949</v>
      </c>
      <c r="B427" s="4" t="s">
        <v>1938</v>
      </c>
      <c r="C427" s="4" t="s">
        <v>1950</v>
      </c>
      <c r="D427" s="4" t="s">
        <v>42</v>
      </c>
      <c r="E427" s="4" t="s">
        <v>33</v>
      </c>
      <c r="F427" s="4" t="s">
        <v>33</v>
      </c>
      <c r="G427" s="4" t="s">
        <v>1940</v>
      </c>
      <c r="H427" s="4" t="s">
        <v>1941</v>
      </c>
      <c r="I427" s="4" t="s">
        <v>1942</v>
      </c>
      <c r="J427" s="4" t="s">
        <v>1951</v>
      </c>
      <c r="K427" s="4" t="s">
        <v>1948</v>
      </c>
      <c r="L427" s="6" t="s">
        <v>88</v>
      </c>
    </row>
    <row r="428" spans="1:12" ht="72" customHeight="1">
      <c r="A428" s="4" t="s">
        <v>1952</v>
      </c>
      <c r="B428" s="4" t="s">
        <v>1938</v>
      </c>
      <c r="C428" s="4" t="s">
        <v>1953</v>
      </c>
      <c r="D428" s="4" t="s">
        <v>42</v>
      </c>
      <c r="E428" s="4" t="s">
        <v>33</v>
      </c>
      <c r="F428" s="4" t="s">
        <v>33</v>
      </c>
      <c r="G428" s="4" t="s">
        <v>1940</v>
      </c>
      <c r="H428" s="4" t="s">
        <v>1941</v>
      </c>
      <c r="I428" s="4" t="s">
        <v>1942</v>
      </c>
      <c r="J428" s="4" t="s">
        <v>1954</v>
      </c>
      <c r="K428" s="4" t="s">
        <v>1955</v>
      </c>
      <c r="L428" s="6" t="s">
        <v>103</v>
      </c>
    </row>
    <row r="429" spans="1:12" ht="72" customHeight="1">
      <c r="A429" s="4" t="s">
        <v>1956</v>
      </c>
      <c r="B429" s="4" t="s">
        <v>1938</v>
      </c>
      <c r="C429" s="4" t="s">
        <v>1957</v>
      </c>
      <c r="D429" s="4" t="s">
        <v>42</v>
      </c>
      <c r="E429" s="4" t="s">
        <v>33</v>
      </c>
      <c r="F429" s="4" t="s">
        <v>33</v>
      </c>
      <c r="G429" s="4" t="s">
        <v>1940</v>
      </c>
      <c r="H429" s="4" t="s">
        <v>1941</v>
      </c>
      <c r="I429" s="4" t="s">
        <v>1942</v>
      </c>
      <c r="J429" s="4" t="s">
        <v>1958</v>
      </c>
      <c r="K429" s="4" t="s">
        <v>1959</v>
      </c>
      <c r="L429" s="6" t="s">
        <v>183</v>
      </c>
    </row>
    <row r="430" spans="1:12" ht="72" customHeight="1">
      <c r="A430" s="4" t="s">
        <v>1960</v>
      </c>
      <c r="B430" s="4" t="s">
        <v>1961</v>
      </c>
      <c r="C430" s="4" t="s">
        <v>1962</v>
      </c>
      <c r="D430" s="4" t="s">
        <v>42</v>
      </c>
      <c r="E430" s="4" t="s">
        <v>33</v>
      </c>
      <c r="F430" s="4" t="s">
        <v>33</v>
      </c>
      <c r="G430" s="4" t="s">
        <v>1963</v>
      </c>
      <c r="H430" s="4" t="s">
        <v>1964</v>
      </c>
      <c r="I430" s="4" t="s">
        <v>1965</v>
      </c>
      <c r="J430" s="4" t="s">
        <v>1966</v>
      </c>
      <c r="K430" s="4" t="s">
        <v>1967</v>
      </c>
      <c r="L430" s="6" t="s">
        <v>159</v>
      </c>
    </row>
    <row r="431" spans="1:12" ht="72" customHeight="1">
      <c r="A431" s="4" t="s">
        <v>1968</v>
      </c>
      <c r="B431" s="4" t="s">
        <v>1961</v>
      </c>
      <c r="C431" s="4" t="s">
        <v>1969</v>
      </c>
      <c r="D431" s="4" t="s">
        <v>42</v>
      </c>
      <c r="E431" s="4" t="s">
        <v>33</v>
      </c>
      <c r="F431" s="4" t="s">
        <v>33</v>
      </c>
      <c r="G431" s="4" t="s">
        <v>1963</v>
      </c>
      <c r="H431" s="4" t="s">
        <v>1964</v>
      </c>
      <c r="I431" s="4" t="s">
        <v>1965</v>
      </c>
      <c r="J431" s="4" t="s">
        <v>1970</v>
      </c>
      <c r="K431" s="4" t="s">
        <v>1971</v>
      </c>
      <c r="L431" s="6" t="s">
        <v>103</v>
      </c>
    </row>
    <row r="432" spans="1:12" ht="72" customHeight="1">
      <c r="A432" s="4" t="s">
        <v>1972</v>
      </c>
      <c r="B432" s="4" t="s">
        <v>1961</v>
      </c>
      <c r="C432" s="4" t="s">
        <v>1973</v>
      </c>
      <c r="D432" s="4" t="s">
        <v>42</v>
      </c>
      <c r="E432" s="4" t="s">
        <v>33</v>
      </c>
      <c r="F432" s="4" t="s">
        <v>33</v>
      </c>
      <c r="G432" s="4" t="s">
        <v>1963</v>
      </c>
      <c r="H432" s="4" t="s">
        <v>1964</v>
      </c>
      <c r="I432" s="4" t="s">
        <v>1965</v>
      </c>
      <c r="J432" s="4" t="s">
        <v>1974</v>
      </c>
      <c r="K432" s="4" t="s">
        <v>1975</v>
      </c>
      <c r="L432" s="6" t="s">
        <v>88</v>
      </c>
    </row>
    <row r="433" spans="1:12" ht="72" customHeight="1">
      <c r="A433" s="4" t="s">
        <v>1976</v>
      </c>
      <c r="B433" s="4" t="s">
        <v>1961</v>
      </c>
      <c r="C433" s="4" t="s">
        <v>1977</v>
      </c>
      <c r="D433" s="4" t="s">
        <v>42</v>
      </c>
      <c r="E433" s="4" t="s">
        <v>33</v>
      </c>
      <c r="F433" s="4" t="s">
        <v>33</v>
      </c>
      <c r="G433" s="4" t="s">
        <v>1963</v>
      </c>
      <c r="H433" s="4" t="s">
        <v>1964</v>
      </c>
      <c r="I433" s="4" t="s">
        <v>1965</v>
      </c>
      <c r="J433" s="4" t="s">
        <v>1978</v>
      </c>
      <c r="K433" s="4" t="s">
        <v>1979</v>
      </c>
      <c r="L433" s="6" t="s">
        <v>183</v>
      </c>
    </row>
    <row r="434" spans="1:12" ht="72" customHeight="1">
      <c r="A434" s="4" t="s">
        <v>1980</v>
      </c>
      <c r="B434" s="4" t="s">
        <v>1981</v>
      </c>
      <c r="C434" s="4" t="s">
        <v>1982</v>
      </c>
      <c r="D434" s="4" t="s">
        <v>42</v>
      </c>
      <c r="E434" s="4" t="s">
        <v>33</v>
      </c>
      <c r="F434" s="4" t="s">
        <v>33</v>
      </c>
      <c r="G434" s="4" t="s">
        <v>1983</v>
      </c>
      <c r="H434" s="4" t="s">
        <v>1984</v>
      </c>
      <c r="I434" s="4" t="s">
        <v>1985</v>
      </c>
      <c r="J434" s="4" t="s">
        <v>1986</v>
      </c>
      <c r="K434" s="4" t="s">
        <v>1987</v>
      </c>
      <c r="L434" s="6" t="s">
        <v>159</v>
      </c>
    </row>
    <row r="435" spans="1:12" ht="72" customHeight="1">
      <c r="A435" s="4" t="s">
        <v>1988</v>
      </c>
      <c r="B435" s="4" t="s">
        <v>1981</v>
      </c>
      <c r="C435" s="4" t="s">
        <v>1989</v>
      </c>
      <c r="D435" s="4" t="s">
        <v>42</v>
      </c>
      <c r="E435" s="4" t="s">
        <v>33</v>
      </c>
      <c r="F435" s="4" t="s">
        <v>33</v>
      </c>
      <c r="G435" s="4" t="s">
        <v>1983</v>
      </c>
      <c r="H435" s="4" t="s">
        <v>1984</v>
      </c>
      <c r="I435" s="4" t="s">
        <v>1985</v>
      </c>
      <c r="J435" s="4" t="s">
        <v>1990</v>
      </c>
      <c r="K435" s="4" t="s">
        <v>1991</v>
      </c>
      <c r="L435" s="6" t="s">
        <v>518</v>
      </c>
    </row>
    <row r="436" spans="1:12" ht="72" customHeight="1">
      <c r="A436" s="4" t="s">
        <v>1992</v>
      </c>
      <c r="B436" s="4" t="s">
        <v>1981</v>
      </c>
      <c r="C436" s="4" t="s">
        <v>1993</v>
      </c>
      <c r="D436" s="4" t="s">
        <v>42</v>
      </c>
      <c r="E436" s="4" t="s">
        <v>33</v>
      </c>
      <c r="F436" s="4" t="s">
        <v>33</v>
      </c>
      <c r="G436" s="4" t="s">
        <v>1983</v>
      </c>
      <c r="H436" s="4" t="s">
        <v>1984</v>
      </c>
      <c r="I436" s="4" t="s">
        <v>1985</v>
      </c>
      <c r="J436" s="4" t="s">
        <v>1994</v>
      </c>
      <c r="K436" s="4" t="s">
        <v>1995</v>
      </c>
      <c r="L436" s="6" t="s">
        <v>88</v>
      </c>
    </row>
    <row r="437" spans="1:12" ht="72" customHeight="1">
      <c r="A437" s="4" t="s">
        <v>1996</v>
      </c>
      <c r="B437" s="4" t="s">
        <v>1981</v>
      </c>
      <c r="C437" s="4" t="s">
        <v>1997</v>
      </c>
      <c r="D437" s="4" t="s">
        <v>42</v>
      </c>
      <c r="E437" s="4" t="s">
        <v>33</v>
      </c>
      <c r="F437" s="4" t="s">
        <v>33</v>
      </c>
      <c r="G437" s="4" t="s">
        <v>1983</v>
      </c>
      <c r="H437" s="4" t="s">
        <v>1984</v>
      </c>
      <c r="I437" s="4" t="s">
        <v>1985</v>
      </c>
      <c r="J437" s="4" t="s">
        <v>1998</v>
      </c>
      <c r="K437" s="4" t="s">
        <v>1991</v>
      </c>
      <c r="L437" s="6" t="s">
        <v>103</v>
      </c>
    </row>
    <row r="438" spans="1:12" ht="72" customHeight="1">
      <c r="A438" s="4" t="s">
        <v>1999</v>
      </c>
      <c r="B438" s="4" t="s">
        <v>2000</v>
      </c>
      <c r="C438" s="4" t="s">
        <v>2001</v>
      </c>
      <c r="D438" s="4" t="s">
        <v>42</v>
      </c>
      <c r="E438" s="4" t="s">
        <v>33</v>
      </c>
      <c r="F438" s="4" t="s">
        <v>33</v>
      </c>
      <c r="G438" s="4" t="s">
        <v>2002</v>
      </c>
      <c r="H438" s="4" t="s">
        <v>2003</v>
      </c>
      <c r="I438" s="4" t="s">
        <v>2004</v>
      </c>
      <c r="J438" s="4" t="s">
        <v>2005</v>
      </c>
      <c r="K438" s="4" t="s">
        <v>2006</v>
      </c>
      <c r="L438" s="6" t="s">
        <v>159</v>
      </c>
    </row>
    <row r="439" spans="1:12" ht="72" customHeight="1">
      <c r="A439" s="4" t="s">
        <v>2007</v>
      </c>
      <c r="B439" s="4" t="s">
        <v>2000</v>
      </c>
      <c r="C439" s="4" t="s">
        <v>2008</v>
      </c>
      <c r="D439" s="4" t="s">
        <v>42</v>
      </c>
      <c r="E439" s="4" t="s">
        <v>33</v>
      </c>
      <c r="F439" s="4" t="s">
        <v>33</v>
      </c>
      <c r="G439" s="4" t="s">
        <v>2002</v>
      </c>
      <c r="H439" s="4" t="s">
        <v>2003</v>
      </c>
      <c r="I439" s="4" t="s">
        <v>2004</v>
      </c>
      <c r="J439" s="4" t="s">
        <v>2009</v>
      </c>
      <c r="K439" s="4" t="s">
        <v>2006</v>
      </c>
      <c r="L439" s="6" t="s">
        <v>88</v>
      </c>
    </row>
    <row r="440" spans="1:12" ht="72" customHeight="1">
      <c r="A440" s="4" t="s">
        <v>2010</v>
      </c>
      <c r="B440" s="4" t="s">
        <v>2000</v>
      </c>
      <c r="C440" s="4" t="s">
        <v>2011</v>
      </c>
      <c r="D440" s="4" t="s">
        <v>42</v>
      </c>
      <c r="E440" s="4" t="s">
        <v>33</v>
      </c>
      <c r="F440" s="4" t="s">
        <v>33</v>
      </c>
      <c r="G440" s="4" t="s">
        <v>2002</v>
      </c>
      <c r="H440" s="4" t="s">
        <v>2003</v>
      </c>
      <c r="I440" s="4" t="s">
        <v>2004</v>
      </c>
      <c r="J440" s="4" t="s">
        <v>2012</v>
      </c>
      <c r="K440" s="4" t="s">
        <v>2013</v>
      </c>
      <c r="L440" s="6" t="s">
        <v>103</v>
      </c>
    </row>
    <row r="441" spans="1:12" ht="72" customHeight="1">
      <c r="A441" s="4" t="s">
        <v>2014</v>
      </c>
      <c r="B441" s="4" t="s">
        <v>2000</v>
      </c>
      <c r="C441" s="4" t="s">
        <v>2015</v>
      </c>
      <c r="D441" s="4" t="s">
        <v>42</v>
      </c>
      <c r="E441" s="4" t="s">
        <v>33</v>
      </c>
      <c r="F441" s="4" t="s">
        <v>33</v>
      </c>
      <c r="G441" s="4" t="s">
        <v>2002</v>
      </c>
      <c r="H441" s="4" t="s">
        <v>2003</v>
      </c>
      <c r="I441" s="4" t="s">
        <v>2004</v>
      </c>
      <c r="J441" s="4" t="s">
        <v>2016</v>
      </c>
      <c r="K441" s="4" t="s">
        <v>2017</v>
      </c>
      <c r="L441" s="6" t="s">
        <v>183</v>
      </c>
    </row>
    <row r="442" spans="1:12" ht="72" customHeight="1">
      <c r="A442" s="4" t="s">
        <v>2018</v>
      </c>
      <c r="B442" s="4" t="s">
        <v>2019</v>
      </c>
      <c r="C442" s="4" t="s">
        <v>2020</v>
      </c>
      <c r="D442" s="4" t="s">
        <v>42</v>
      </c>
      <c r="E442" s="4" t="s">
        <v>33</v>
      </c>
      <c r="F442" s="4" t="s">
        <v>33</v>
      </c>
      <c r="G442" s="4" t="s">
        <v>2021</v>
      </c>
      <c r="H442" s="4" t="s">
        <v>2022</v>
      </c>
      <c r="I442" s="4" t="s">
        <v>2023</v>
      </c>
      <c r="J442" s="4" t="s">
        <v>2024</v>
      </c>
      <c r="K442" s="4" t="s">
        <v>2025</v>
      </c>
      <c r="L442" s="6" t="s">
        <v>159</v>
      </c>
    </row>
    <row r="443" spans="1:12" ht="72" customHeight="1">
      <c r="A443" s="4" t="s">
        <v>2026</v>
      </c>
      <c r="B443" s="4" t="s">
        <v>2019</v>
      </c>
      <c r="C443" s="4" t="s">
        <v>2027</v>
      </c>
      <c r="D443" s="4" t="s">
        <v>42</v>
      </c>
      <c r="E443" s="4" t="s">
        <v>33</v>
      </c>
      <c r="F443" s="4" t="s">
        <v>33</v>
      </c>
      <c r="G443" s="4" t="s">
        <v>2021</v>
      </c>
      <c r="H443" s="4" t="s">
        <v>2022</v>
      </c>
      <c r="I443" s="4" t="s">
        <v>2023</v>
      </c>
      <c r="J443" s="4" t="s">
        <v>2028</v>
      </c>
      <c r="K443" s="4" t="s">
        <v>2029</v>
      </c>
      <c r="L443" s="6" t="s">
        <v>518</v>
      </c>
    </row>
    <row r="444" spans="1:12" ht="72" customHeight="1">
      <c r="A444" s="4" t="s">
        <v>2030</v>
      </c>
      <c r="B444" s="4" t="s">
        <v>2019</v>
      </c>
      <c r="C444" s="4" t="s">
        <v>2031</v>
      </c>
      <c r="D444" s="4" t="s">
        <v>42</v>
      </c>
      <c r="E444" s="4" t="s">
        <v>33</v>
      </c>
      <c r="F444" s="4" t="s">
        <v>33</v>
      </c>
      <c r="G444" s="4" t="s">
        <v>2021</v>
      </c>
      <c r="H444" s="4" t="s">
        <v>2022</v>
      </c>
      <c r="I444" s="4" t="s">
        <v>2023</v>
      </c>
      <c r="J444" s="4" t="s">
        <v>2032</v>
      </c>
      <c r="K444" s="4" t="s">
        <v>2033</v>
      </c>
      <c r="L444" s="6" t="s">
        <v>518</v>
      </c>
    </row>
    <row r="445" spans="1:12" ht="72" customHeight="1">
      <c r="A445" s="4" t="s">
        <v>2034</v>
      </c>
      <c r="B445" s="4" t="s">
        <v>2019</v>
      </c>
      <c r="C445" s="4" t="s">
        <v>2035</v>
      </c>
      <c r="D445" s="4" t="s">
        <v>42</v>
      </c>
      <c r="E445" s="4" t="s">
        <v>33</v>
      </c>
      <c r="F445" s="4" t="s">
        <v>33</v>
      </c>
      <c r="G445" s="4" t="s">
        <v>2021</v>
      </c>
      <c r="H445" s="4" t="s">
        <v>2022</v>
      </c>
      <c r="I445" s="4" t="s">
        <v>2023</v>
      </c>
      <c r="J445" s="4" t="s">
        <v>2036</v>
      </c>
      <c r="K445" s="4" t="s">
        <v>2037</v>
      </c>
      <c r="L445" s="6" t="s">
        <v>165</v>
      </c>
    </row>
    <row r="446" spans="1:12" ht="72" customHeight="1">
      <c r="A446" s="4" t="s">
        <v>2038</v>
      </c>
      <c r="B446" s="4" t="s">
        <v>2019</v>
      </c>
      <c r="C446" s="4" t="s">
        <v>2039</v>
      </c>
      <c r="D446" s="4" t="s">
        <v>42</v>
      </c>
      <c r="E446" s="4" t="s">
        <v>33</v>
      </c>
      <c r="F446" s="4" t="s">
        <v>33</v>
      </c>
      <c r="G446" s="4" t="s">
        <v>2021</v>
      </c>
      <c r="H446" s="4" t="s">
        <v>2022</v>
      </c>
      <c r="I446" s="4" t="s">
        <v>2023</v>
      </c>
      <c r="J446" s="4" t="s">
        <v>2040</v>
      </c>
      <c r="K446" s="4" t="s">
        <v>2025</v>
      </c>
      <c r="L446" s="6" t="s">
        <v>88</v>
      </c>
    </row>
    <row r="447" spans="1:12" ht="72" customHeight="1">
      <c r="A447" s="4" t="s">
        <v>2041</v>
      </c>
      <c r="B447" s="4" t="s">
        <v>2042</v>
      </c>
      <c r="C447" s="4" t="s">
        <v>2043</v>
      </c>
      <c r="D447" s="4" t="s">
        <v>42</v>
      </c>
      <c r="E447" s="4" t="s">
        <v>33</v>
      </c>
      <c r="F447" s="4" t="s">
        <v>33</v>
      </c>
      <c r="G447" s="4" t="s">
        <v>2044</v>
      </c>
      <c r="H447" s="4" t="s">
        <v>2045</v>
      </c>
      <c r="I447" s="4" t="s">
        <v>2046</v>
      </c>
      <c r="J447" s="4" t="s">
        <v>2047</v>
      </c>
      <c r="K447" s="4" t="s">
        <v>2048</v>
      </c>
      <c r="L447" s="6" t="s">
        <v>47</v>
      </c>
    </row>
    <row r="448" spans="1:12" ht="72" customHeight="1">
      <c r="A448" s="4" t="s">
        <v>2049</v>
      </c>
      <c r="B448" s="4" t="s">
        <v>2042</v>
      </c>
      <c r="C448" s="4" t="s">
        <v>2050</v>
      </c>
      <c r="D448" s="4" t="s">
        <v>42</v>
      </c>
      <c r="E448" s="4" t="s">
        <v>33</v>
      </c>
      <c r="F448" s="4" t="s">
        <v>33</v>
      </c>
      <c r="G448" s="4" t="s">
        <v>2044</v>
      </c>
      <c r="H448" s="4" t="s">
        <v>2045</v>
      </c>
      <c r="I448" s="4" t="s">
        <v>2046</v>
      </c>
      <c r="J448" s="4" t="s">
        <v>2051</v>
      </c>
      <c r="K448" s="4" t="s">
        <v>2052</v>
      </c>
      <c r="L448" s="6" t="s">
        <v>39</v>
      </c>
    </row>
    <row r="449" spans="1:12" ht="72" customHeight="1">
      <c r="A449" s="4" t="s">
        <v>2053</v>
      </c>
      <c r="B449" s="4" t="s">
        <v>2042</v>
      </c>
      <c r="C449" s="4" t="s">
        <v>2054</v>
      </c>
      <c r="D449" s="4" t="s">
        <v>42</v>
      </c>
      <c r="E449" s="4" t="s">
        <v>33</v>
      </c>
      <c r="F449" s="4" t="s">
        <v>33</v>
      </c>
      <c r="G449" s="4" t="s">
        <v>2044</v>
      </c>
      <c r="H449" s="4" t="s">
        <v>2045</v>
      </c>
      <c r="I449" s="4" t="s">
        <v>2046</v>
      </c>
      <c r="J449" s="4" t="s">
        <v>2055</v>
      </c>
      <c r="K449" s="4" t="s">
        <v>2056</v>
      </c>
      <c r="L449" s="6" t="s">
        <v>307</v>
      </c>
    </row>
    <row r="450" spans="1:12" ht="72" customHeight="1">
      <c r="A450" s="4" t="s">
        <v>2057</v>
      </c>
      <c r="B450" s="4" t="s">
        <v>2042</v>
      </c>
      <c r="C450" s="4" t="s">
        <v>2058</v>
      </c>
      <c r="D450" s="4" t="s">
        <v>42</v>
      </c>
      <c r="E450" s="4" t="s">
        <v>33</v>
      </c>
      <c r="F450" s="4" t="s">
        <v>33</v>
      </c>
      <c r="G450" s="4" t="s">
        <v>2044</v>
      </c>
      <c r="H450" s="4" t="s">
        <v>2045</v>
      </c>
      <c r="I450" s="4" t="s">
        <v>2046</v>
      </c>
      <c r="J450" s="4" t="s">
        <v>2059</v>
      </c>
      <c r="K450" s="4" t="s">
        <v>2060</v>
      </c>
      <c r="L450" s="6" t="s">
        <v>307</v>
      </c>
    </row>
    <row r="451" spans="1:12" ht="72" customHeight="1">
      <c r="A451" s="4" t="s">
        <v>2061</v>
      </c>
      <c r="B451" s="4" t="s">
        <v>2042</v>
      </c>
      <c r="C451" s="4" t="s">
        <v>2062</v>
      </c>
      <c r="D451" s="4" t="s">
        <v>42</v>
      </c>
      <c r="E451" s="4" t="s">
        <v>33</v>
      </c>
      <c r="F451" s="4" t="s">
        <v>33</v>
      </c>
      <c r="G451" s="4" t="s">
        <v>2044</v>
      </c>
      <c r="H451" s="4" t="s">
        <v>2045</v>
      </c>
      <c r="I451" s="4" t="s">
        <v>2046</v>
      </c>
      <c r="J451" s="4" t="s">
        <v>2063</v>
      </c>
      <c r="K451" s="4" t="s">
        <v>2064</v>
      </c>
      <c r="L451" s="6" t="s">
        <v>95</v>
      </c>
    </row>
    <row r="452" spans="1:12" ht="72" customHeight="1">
      <c r="A452" s="4" t="s">
        <v>2065</v>
      </c>
      <c r="B452" s="4" t="s">
        <v>2042</v>
      </c>
      <c r="C452" s="4" t="s">
        <v>2066</v>
      </c>
      <c r="D452" s="4" t="s">
        <v>42</v>
      </c>
      <c r="E452" s="4" t="s">
        <v>33</v>
      </c>
      <c r="F452" s="4" t="s">
        <v>33</v>
      </c>
      <c r="G452" s="4" t="s">
        <v>2044</v>
      </c>
      <c r="H452" s="4" t="s">
        <v>2045</v>
      </c>
      <c r="I452" s="4" t="s">
        <v>2046</v>
      </c>
      <c r="J452" s="4" t="s">
        <v>2067</v>
      </c>
      <c r="K452" s="4" t="s">
        <v>2060</v>
      </c>
      <c r="L452" s="6" t="s">
        <v>307</v>
      </c>
    </row>
    <row r="453" spans="1:12" ht="72" customHeight="1">
      <c r="A453" s="4" t="s">
        <v>2068</v>
      </c>
      <c r="B453" s="4" t="s">
        <v>2042</v>
      </c>
      <c r="C453" s="4" t="s">
        <v>2069</v>
      </c>
      <c r="D453" s="4" t="s">
        <v>42</v>
      </c>
      <c r="E453" s="4" t="s">
        <v>33</v>
      </c>
      <c r="F453" s="4" t="s">
        <v>33</v>
      </c>
      <c r="G453" s="4" t="s">
        <v>2044</v>
      </c>
      <c r="H453" s="4" t="s">
        <v>2045</v>
      </c>
      <c r="I453" s="4" t="s">
        <v>2046</v>
      </c>
      <c r="J453" s="4" t="s">
        <v>2070</v>
      </c>
      <c r="K453" s="4" t="s">
        <v>2060</v>
      </c>
      <c r="L453" s="6" t="s">
        <v>165</v>
      </c>
    </row>
    <row r="454" spans="1:12" ht="72" customHeight="1">
      <c r="A454" s="4" t="s">
        <v>2071</v>
      </c>
      <c r="B454" s="4" t="s">
        <v>2042</v>
      </c>
      <c r="C454" s="4" t="s">
        <v>2072</v>
      </c>
      <c r="D454" s="4" t="s">
        <v>42</v>
      </c>
      <c r="E454" s="4" t="s">
        <v>33</v>
      </c>
      <c r="F454" s="4" t="s">
        <v>33</v>
      </c>
      <c r="G454" s="4" t="s">
        <v>2044</v>
      </c>
      <c r="H454" s="4" t="s">
        <v>2045</v>
      </c>
      <c r="I454" s="4" t="s">
        <v>2046</v>
      </c>
      <c r="J454" s="4" t="s">
        <v>2073</v>
      </c>
      <c r="K454" s="4" t="s">
        <v>2060</v>
      </c>
      <c r="L454" s="6" t="s">
        <v>165</v>
      </c>
    </row>
    <row r="455" spans="1:12" ht="72" customHeight="1">
      <c r="A455" s="4" t="s">
        <v>2074</v>
      </c>
      <c r="B455" s="4" t="s">
        <v>2042</v>
      </c>
      <c r="C455" s="4" t="s">
        <v>2075</v>
      </c>
      <c r="D455" s="4" t="s">
        <v>42</v>
      </c>
      <c r="E455" s="4" t="s">
        <v>33</v>
      </c>
      <c r="F455" s="4" t="s">
        <v>33</v>
      </c>
      <c r="G455" s="4" t="s">
        <v>2044</v>
      </c>
      <c r="H455" s="4" t="s">
        <v>2045</v>
      </c>
      <c r="I455" s="4" t="s">
        <v>2046</v>
      </c>
      <c r="J455" s="4" t="s">
        <v>2076</v>
      </c>
      <c r="K455" s="4" t="s">
        <v>2077</v>
      </c>
      <c r="L455" s="6" t="s">
        <v>307</v>
      </c>
    </row>
    <row r="456" spans="1:12" ht="72" customHeight="1">
      <c r="A456" s="4" t="s">
        <v>2078</v>
      </c>
      <c r="B456" s="4" t="s">
        <v>2042</v>
      </c>
      <c r="C456" s="4" t="s">
        <v>2079</v>
      </c>
      <c r="D456" s="4" t="s">
        <v>42</v>
      </c>
      <c r="E456" s="4" t="s">
        <v>33</v>
      </c>
      <c r="F456" s="4" t="s">
        <v>33</v>
      </c>
      <c r="G456" s="4" t="s">
        <v>2044</v>
      </c>
      <c r="H456" s="4" t="s">
        <v>2045</v>
      </c>
      <c r="I456" s="4" t="s">
        <v>2046</v>
      </c>
      <c r="J456" s="4" t="s">
        <v>2080</v>
      </c>
      <c r="K456" s="4" t="s">
        <v>2081</v>
      </c>
      <c r="L456" s="6" t="s">
        <v>1880</v>
      </c>
    </row>
    <row r="457" spans="1:12" ht="72" customHeight="1">
      <c r="A457" s="4" t="s">
        <v>2082</v>
      </c>
      <c r="B457" s="4" t="s">
        <v>2042</v>
      </c>
      <c r="C457" s="4" t="s">
        <v>2083</v>
      </c>
      <c r="D457" s="4" t="s">
        <v>42</v>
      </c>
      <c r="E457" s="4" t="s">
        <v>33</v>
      </c>
      <c r="F457" s="4" t="s">
        <v>33</v>
      </c>
      <c r="G457" s="4" t="s">
        <v>2044</v>
      </c>
      <c r="H457" s="4" t="s">
        <v>2045</v>
      </c>
      <c r="I457" s="4" t="s">
        <v>2046</v>
      </c>
      <c r="J457" s="4" t="s">
        <v>2084</v>
      </c>
      <c r="K457" s="4" t="s">
        <v>2085</v>
      </c>
      <c r="L457" s="6" t="s">
        <v>518</v>
      </c>
    </row>
    <row r="458" spans="1:12" ht="72" customHeight="1">
      <c r="A458" s="4" t="s">
        <v>2086</v>
      </c>
      <c r="B458" s="4" t="s">
        <v>2042</v>
      </c>
      <c r="C458" s="4" t="s">
        <v>2087</v>
      </c>
      <c r="D458" s="4" t="s">
        <v>42</v>
      </c>
      <c r="E458" s="4" t="s">
        <v>33</v>
      </c>
      <c r="F458" s="4" t="s">
        <v>33</v>
      </c>
      <c r="G458" s="4" t="s">
        <v>2044</v>
      </c>
      <c r="H458" s="4" t="s">
        <v>2045</v>
      </c>
      <c r="I458" s="4" t="s">
        <v>2046</v>
      </c>
      <c r="J458" s="4" t="s">
        <v>2088</v>
      </c>
      <c r="K458" s="4" t="s">
        <v>2064</v>
      </c>
      <c r="L458" s="6" t="s">
        <v>307</v>
      </c>
    </row>
    <row r="459" spans="1:12" ht="72" customHeight="1">
      <c r="A459" s="4" t="s">
        <v>2089</v>
      </c>
      <c r="B459" s="4" t="s">
        <v>2042</v>
      </c>
      <c r="C459" s="4" t="s">
        <v>2090</v>
      </c>
      <c r="D459" s="4" t="s">
        <v>42</v>
      </c>
      <c r="E459" s="4" t="s">
        <v>33</v>
      </c>
      <c r="F459" s="4" t="s">
        <v>33</v>
      </c>
      <c r="G459" s="4" t="s">
        <v>2044</v>
      </c>
      <c r="H459" s="4" t="s">
        <v>2045</v>
      </c>
      <c r="I459" s="4" t="s">
        <v>2046</v>
      </c>
      <c r="J459" s="4" t="s">
        <v>2091</v>
      </c>
      <c r="K459" s="4" t="s">
        <v>2092</v>
      </c>
      <c r="L459" s="6" t="s">
        <v>165</v>
      </c>
    </row>
    <row r="460" spans="1:12" ht="72" customHeight="1">
      <c r="A460" s="4" t="s">
        <v>2093</v>
      </c>
      <c r="B460" s="4" t="s">
        <v>2094</v>
      </c>
      <c r="C460" s="4" t="s">
        <v>2095</v>
      </c>
      <c r="D460" s="4" t="s">
        <v>42</v>
      </c>
      <c r="E460" s="4" t="s">
        <v>33</v>
      </c>
      <c r="F460" s="4" t="s">
        <v>33</v>
      </c>
      <c r="G460" s="4" t="s">
        <v>2096</v>
      </c>
      <c r="H460" s="4" t="s">
        <v>2097</v>
      </c>
      <c r="I460" s="4" t="s">
        <v>2098</v>
      </c>
      <c r="J460" s="4" t="s">
        <v>2099</v>
      </c>
      <c r="K460" s="4" t="s">
        <v>2100</v>
      </c>
      <c r="L460" s="6" t="s">
        <v>39</v>
      </c>
    </row>
    <row r="461" spans="1:12" ht="72" customHeight="1">
      <c r="A461" s="4" t="s">
        <v>2101</v>
      </c>
      <c r="B461" s="4" t="s">
        <v>2094</v>
      </c>
      <c r="C461" s="4" t="s">
        <v>2102</v>
      </c>
      <c r="D461" s="4" t="s">
        <v>42</v>
      </c>
      <c r="E461" s="4" t="s">
        <v>33</v>
      </c>
      <c r="F461" s="4" t="s">
        <v>33</v>
      </c>
      <c r="G461" s="4" t="s">
        <v>2096</v>
      </c>
      <c r="H461" s="4" t="s">
        <v>2097</v>
      </c>
      <c r="I461" s="4" t="s">
        <v>2098</v>
      </c>
      <c r="J461" s="4" t="s">
        <v>2103</v>
      </c>
      <c r="K461" s="4" t="s">
        <v>2104</v>
      </c>
      <c r="L461" s="6" t="s">
        <v>518</v>
      </c>
    </row>
    <row r="462" spans="1:12" ht="72" customHeight="1">
      <c r="A462" s="4" t="s">
        <v>2105</v>
      </c>
      <c r="B462" s="4" t="s">
        <v>2094</v>
      </c>
      <c r="C462" s="4" t="s">
        <v>2106</v>
      </c>
      <c r="D462" s="4" t="s">
        <v>42</v>
      </c>
      <c r="E462" s="4" t="s">
        <v>33</v>
      </c>
      <c r="F462" s="4" t="s">
        <v>33</v>
      </c>
      <c r="G462" s="4" t="s">
        <v>2096</v>
      </c>
      <c r="H462" s="4" t="s">
        <v>2097</v>
      </c>
      <c r="I462" s="4" t="s">
        <v>2098</v>
      </c>
      <c r="J462" s="4" t="s">
        <v>2107</v>
      </c>
      <c r="K462" s="4" t="s">
        <v>2108</v>
      </c>
      <c r="L462" s="6" t="s">
        <v>116</v>
      </c>
    </row>
    <row r="463" spans="1:12" ht="72" customHeight="1">
      <c r="A463" s="4" t="s">
        <v>2109</v>
      </c>
      <c r="B463" s="4" t="s">
        <v>2094</v>
      </c>
      <c r="C463" s="4" t="s">
        <v>2110</v>
      </c>
      <c r="D463" s="4" t="s">
        <v>42</v>
      </c>
      <c r="E463" s="4" t="s">
        <v>33</v>
      </c>
      <c r="F463" s="4" t="s">
        <v>33</v>
      </c>
      <c r="G463" s="4" t="s">
        <v>2096</v>
      </c>
      <c r="H463" s="4" t="s">
        <v>2097</v>
      </c>
      <c r="I463" s="4" t="s">
        <v>2098</v>
      </c>
      <c r="J463" s="4" t="s">
        <v>2111</v>
      </c>
      <c r="K463" s="4" t="s">
        <v>2112</v>
      </c>
      <c r="L463" s="6" t="s">
        <v>307</v>
      </c>
    </row>
    <row r="464" spans="1:12" ht="72" customHeight="1">
      <c r="A464" s="4" t="s">
        <v>2113</v>
      </c>
      <c r="B464" s="4" t="s">
        <v>2114</v>
      </c>
      <c r="C464" s="4" t="s">
        <v>2115</v>
      </c>
      <c r="D464" s="4" t="s">
        <v>42</v>
      </c>
      <c r="E464" s="4" t="s">
        <v>33</v>
      </c>
      <c r="F464" s="4" t="s">
        <v>33</v>
      </c>
      <c r="G464" s="4" t="s">
        <v>2116</v>
      </c>
      <c r="H464" s="4" t="s">
        <v>2117</v>
      </c>
      <c r="I464" s="4" t="s">
        <v>2118</v>
      </c>
      <c r="J464" s="4" t="s">
        <v>2119</v>
      </c>
      <c r="K464" s="4" t="s">
        <v>2120</v>
      </c>
      <c r="L464" s="6" t="s">
        <v>39</v>
      </c>
    </row>
    <row r="465" spans="1:12" ht="72" customHeight="1">
      <c r="A465" s="4" t="s">
        <v>2121</v>
      </c>
      <c r="B465" s="4" t="s">
        <v>2114</v>
      </c>
      <c r="C465" s="4" t="s">
        <v>2122</v>
      </c>
      <c r="D465" s="4" t="s">
        <v>42</v>
      </c>
      <c r="E465" s="4" t="s">
        <v>33</v>
      </c>
      <c r="F465" s="4" t="s">
        <v>33</v>
      </c>
      <c r="G465" s="4" t="s">
        <v>2116</v>
      </c>
      <c r="H465" s="4" t="s">
        <v>2117</v>
      </c>
      <c r="I465" s="4" t="s">
        <v>2118</v>
      </c>
      <c r="J465" s="4" t="s">
        <v>2123</v>
      </c>
      <c r="K465" s="4" t="s">
        <v>2120</v>
      </c>
      <c r="L465" s="6" t="s">
        <v>311</v>
      </c>
    </row>
    <row r="466" spans="1:12" ht="72" customHeight="1">
      <c r="A466" s="4" t="s">
        <v>2124</v>
      </c>
      <c r="B466" s="4" t="s">
        <v>2114</v>
      </c>
      <c r="C466" s="4" t="s">
        <v>2125</v>
      </c>
      <c r="D466" s="4" t="s">
        <v>42</v>
      </c>
      <c r="E466" s="4" t="s">
        <v>33</v>
      </c>
      <c r="F466" s="4" t="s">
        <v>33</v>
      </c>
      <c r="G466" s="4" t="s">
        <v>2116</v>
      </c>
      <c r="H466" s="4" t="s">
        <v>2117</v>
      </c>
      <c r="I466" s="4" t="s">
        <v>2118</v>
      </c>
      <c r="J466" s="4" t="s">
        <v>2126</v>
      </c>
      <c r="K466" s="4" t="s">
        <v>2120</v>
      </c>
      <c r="L466" s="6" t="s">
        <v>165</v>
      </c>
    </row>
    <row r="467" spans="1:12" ht="72" customHeight="1">
      <c r="A467" s="4" t="s">
        <v>2127</v>
      </c>
      <c r="B467" s="4" t="s">
        <v>2128</v>
      </c>
      <c r="C467" s="4" t="s">
        <v>2129</v>
      </c>
      <c r="D467" s="4" t="s">
        <v>42</v>
      </c>
      <c r="E467" s="4" t="s">
        <v>33</v>
      </c>
      <c r="F467" s="4" t="s">
        <v>33</v>
      </c>
      <c r="G467" s="4" t="s">
        <v>2130</v>
      </c>
      <c r="H467" s="4" t="s">
        <v>2131</v>
      </c>
      <c r="I467" s="4" t="s">
        <v>2132</v>
      </c>
      <c r="J467" s="4" t="s">
        <v>2133</v>
      </c>
      <c r="K467" s="4" t="s">
        <v>2134</v>
      </c>
      <c r="L467" s="6" t="s">
        <v>39</v>
      </c>
    </row>
    <row r="468" spans="1:12" ht="72" customHeight="1">
      <c r="A468" s="4" t="s">
        <v>2135</v>
      </c>
      <c r="B468" s="4" t="s">
        <v>2128</v>
      </c>
      <c r="C468" s="4" t="s">
        <v>2136</v>
      </c>
      <c r="D468" s="4" t="s">
        <v>42</v>
      </c>
      <c r="E468" s="4" t="s">
        <v>33</v>
      </c>
      <c r="F468" s="4" t="s">
        <v>33</v>
      </c>
      <c r="G468" s="4" t="s">
        <v>2130</v>
      </c>
      <c r="H468" s="4" t="s">
        <v>2131</v>
      </c>
      <c r="I468" s="4" t="s">
        <v>2132</v>
      </c>
      <c r="J468" s="4" t="s">
        <v>2137</v>
      </c>
      <c r="K468" s="4" t="s">
        <v>2134</v>
      </c>
      <c r="L468" s="6" t="s">
        <v>307</v>
      </c>
    </row>
    <row r="469" spans="1:12" ht="72" customHeight="1">
      <c r="A469" s="4" t="s">
        <v>2138</v>
      </c>
      <c r="B469" s="4" t="s">
        <v>2128</v>
      </c>
      <c r="C469" s="4" t="s">
        <v>2139</v>
      </c>
      <c r="D469" s="4" t="s">
        <v>42</v>
      </c>
      <c r="E469" s="4" t="s">
        <v>33</v>
      </c>
      <c r="F469" s="4" t="s">
        <v>33</v>
      </c>
      <c r="G469" s="4" t="s">
        <v>2130</v>
      </c>
      <c r="H469" s="4" t="s">
        <v>2131</v>
      </c>
      <c r="I469" s="4" t="s">
        <v>2132</v>
      </c>
      <c r="J469" s="4" t="s">
        <v>2140</v>
      </c>
      <c r="K469" s="4" t="s">
        <v>2141</v>
      </c>
      <c r="L469" s="6" t="s">
        <v>165</v>
      </c>
    </row>
    <row r="470" spans="1:12" ht="72" customHeight="1">
      <c r="A470" s="4" t="s">
        <v>2142</v>
      </c>
      <c r="B470" s="4" t="s">
        <v>2143</v>
      </c>
      <c r="C470" s="4" t="s">
        <v>2144</v>
      </c>
      <c r="D470" s="4" t="s">
        <v>42</v>
      </c>
      <c r="E470" s="4" t="s">
        <v>33</v>
      </c>
      <c r="F470" s="4" t="s">
        <v>33</v>
      </c>
      <c r="G470" s="4" t="s">
        <v>2145</v>
      </c>
      <c r="H470" s="4" t="s">
        <v>2146</v>
      </c>
      <c r="I470" s="4" t="s">
        <v>2147</v>
      </c>
      <c r="J470" s="4" t="s">
        <v>2148</v>
      </c>
      <c r="K470" s="4" t="s">
        <v>2149</v>
      </c>
      <c r="L470" s="6" t="s">
        <v>116</v>
      </c>
    </row>
    <row r="471" spans="1:12" ht="72" customHeight="1">
      <c r="A471" s="4" t="s">
        <v>2150</v>
      </c>
      <c r="B471" s="4" t="s">
        <v>2143</v>
      </c>
      <c r="C471" s="4" t="s">
        <v>2151</v>
      </c>
      <c r="D471" s="4" t="s">
        <v>42</v>
      </c>
      <c r="E471" s="4" t="s">
        <v>33</v>
      </c>
      <c r="F471" s="4" t="s">
        <v>33</v>
      </c>
      <c r="G471" s="4" t="s">
        <v>2145</v>
      </c>
      <c r="H471" s="4" t="s">
        <v>2146</v>
      </c>
      <c r="I471" s="4" t="s">
        <v>2147</v>
      </c>
      <c r="J471" s="4" t="s">
        <v>2152</v>
      </c>
      <c r="K471" s="4" t="s">
        <v>2153</v>
      </c>
      <c r="L471" s="6" t="s">
        <v>311</v>
      </c>
    </row>
    <row r="472" spans="1:12" ht="72" customHeight="1">
      <c r="A472" s="4" t="s">
        <v>2154</v>
      </c>
      <c r="B472" s="4" t="s">
        <v>2143</v>
      </c>
      <c r="C472" s="4" t="s">
        <v>2155</v>
      </c>
      <c r="D472" s="4" t="s">
        <v>42</v>
      </c>
      <c r="E472" s="4" t="s">
        <v>33</v>
      </c>
      <c r="F472" s="4" t="s">
        <v>33</v>
      </c>
      <c r="G472" s="4" t="s">
        <v>2145</v>
      </c>
      <c r="H472" s="4" t="s">
        <v>2146</v>
      </c>
      <c r="I472" s="4" t="s">
        <v>2147</v>
      </c>
      <c r="J472" s="4" t="s">
        <v>2156</v>
      </c>
      <c r="K472" s="4" t="s">
        <v>2157</v>
      </c>
      <c r="L472" s="6" t="s">
        <v>95</v>
      </c>
    </row>
    <row r="473" spans="1:12" ht="72" customHeight="1">
      <c r="A473" s="4" t="s">
        <v>2158</v>
      </c>
      <c r="B473" s="4" t="s">
        <v>2143</v>
      </c>
      <c r="C473" s="4" t="s">
        <v>2159</v>
      </c>
      <c r="D473" s="4" t="s">
        <v>42</v>
      </c>
      <c r="E473" s="4" t="s">
        <v>33</v>
      </c>
      <c r="F473" s="4" t="s">
        <v>33</v>
      </c>
      <c r="G473" s="4" t="s">
        <v>2145</v>
      </c>
      <c r="H473" s="4" t="s">
        <v>2146</v>
      </c>
      <c r="I473" s="4" t="s">
        <v>2147</v>
      </c>
      <c r="J473" s="4" t="s">
        <v>2160</v>
      </c>
      <c r="K473" s="4" t="s">
        <v>2161</v>
      </c>
      <c r="L473" s="6" t="s">
        <v>518</v>
      </c>
    </row>
    <row r="474" spans="1:12" ht="72" customHeight="1">
      <c r="A474" s="4" t="s">
        <v>2162</v>
      </c>
      <c r="B474" s="4" t="s">
        <v>2143</v>
      </c>
      <c r="C474" s="4" t="s">
        <v>2163</v>
      </c>
      <c r="D474" s="4" t="s">
        <v>42</v>
      </c>
      <c r="E474" s="4" t="s">
        <v>33</v>
      </c>
      <c r="F474" s="4" t="s">
        <v>33</v>
      </c>
      <c r="G474" s="4" t="s">
        <v>2145</v>
      </c>
      <c r="H474" s="4" t="s">
        <v>2146</v>
      </c>
      <c r="I474" s="4" t="s">
        <v>2147</v>
      </c>
      <c r="J474" s="4" t="s">
        <v>2164</v>
      </c>
      <c r="K474" s="4" t="s">
        <v>2165</v>
      </c>
      <c r="L474" s="6" t="s">
        <v>47</v>
      </c>
    </row>
    <row r="475" spans="1:12" ht="72" customHeight="1">
      <c r="A475" s="4" t="s">
        <v>2166</v>
      </c>
      <c r="B475" s="4" t="s">
        <v>2167</v>
      </c>
      <c r="C475" s="4" t="s">
        <v>2168</v>
      </c>
      <c r="D475" s="4" t="s">
        <v>42</v>
      </c>
      <c r="E475" s="4" t="s">
        <v>33</v>
      </c>
      <c r="F475" s="4" t="s">
        <v>33</v>
      </c>
      <c r="G475" s="4" t="s">
        <v>2169</v>
      </c>
      <c r="H475" s="4" t="s">
        <v>2170</v>
      </c>
      <c r="I475" s="4" t="s">
        <v>2171</v>
      </c>
      <c r="J475" s="4" t="s">
        <v>2172</v>
      </c>
      <c r="K475" s="4" t="s">
        <v>2173</v>
      </c>
      <c r="L475" s="6" t="s">
        <v>39</v>
      </c>
    </row>
    <row r="476" spans="1:12" ht="72" customHeight="1">
      <c r="A476" s="4" t="s">
        <v>2174</v>
      </c>
      <c r="B476" s="4" t="s">
        <v>2167</v>
      </c>
      <c r="C476" s="4" t="s">
        <v>2175</v>
      </c>
      <c r="D476" s="4" t="s">
        <v>42</v>
      </c>
      <c r="E476" s="4" t="s">
        <v>33</v>
      </c>
      <c r="F476" s="4" t="s">
        <v>33</v>
      </c>
      <c r="G476" s="4" t="s">
        <v>2169</v>
      </c>
      <c r="H476" s="4" t="s">
        <v>2170</v>
      </c>
      <c r="I476" s="4" t="s">
        <v>2171</v>
      </c>
      <c r="J476" s="4" t="s">
        <v>2176</v>
      </c>
      <c r="K476" s="4" t="s">
        <v>2173</v>
      </c>
      <c r="L476" s="6" t="s">
        <v>88</v>
      </c>
    </row>
    <row r="477" spans="1:12" ht="72" customHeight="1">
      <c r="A477" s="4" t="s">
        <v>2177</v>
      </c>
      <c r="B477" s="4" t="s">
        <v>2167</v>
      </c>
      <c r="C477" s="4" t="s">
        <v>2178</v>
      </c>
      <c r="D477" s="4" t="s">
        <v>42</v>
      </c>
      <c r="E477" s="4" t="s">
        <v>33</v>
      </c>
      <c r="F477" s="4" t="s">
        <v>33</v>
      </c>
      <c r="G477" s="4" t="s">
        <v>2169</v>
      </c>
      <c r="H477" s="4" t="s">
        <v>2170</v>
      </c>
      <c r="I477" s="4" t="s">
        <v>2171</v>
      </c>
      <c r="J477" s="4" t="s">
        <v>2179</v>
      </c>
      <c r="K477" s="4" t="s">
        <v>2173</v>
      </c>
      <c r="L477" s="6" t="s">
        <v>110</v>
      </c>
    </row>
    <row r="478" spans="1:12" ht="72" customHeight="1">
      <c r="A478" s="4" t="s">
        <v>2180</v>
      </c>
      <c r="B478" s="4" t="s">
        <v>2181</v>
      </c>
      <c r="C478" s="4" t="s">
        <v>2182</v>
      </c>
      <c r="D478" s="4" t="s">
        <v>42</v>
      </c>
      <c r="E478" s="4" t="s">
        <v>33</v>
      </c>
      <c r="F478" s="4" t="s">
        <v>33</v>
      </c>
      <c r="G478" s="4" t="s">
        <v>2183</v>
      </c>
      <c r="H478" s="4" t="s">
        <v>2184</v>
      </c>
      <c r="I478" s="4" t="s">
        <v>2185</v>
      </c>
      <c r="J478" s="4" t="s">
        <v>2186</v>
      </c>
      <c r="K478" s="4" t="s">
        <v>2187</v>
      </c>
      <c r="L478" s="6" t="s">
        <v>39</v>
      </c>
    </row>
    <row r="479" spans="1:12" ht="72" customHeight="1">
      <c r="A479" s="4" t="s">
        <v>2188</v>
      </c>
      <c r="B479" s="4" t="s">
        <v>2181</v>
      </c>
      <c r="C479" s="4" t="s">
        <v>2189</v>
      </c>
      <c r="D479" s="4" t="s">
        <v>42</v>
      </c>
      <c r="E479" s="4" t="s">
        <v>33</v>
      </c>
      <c r="F479" s="4" t="s">
        <v>33</v>
      </c>
      <c r="G479" s="4" t="s">
        <v>2183</v>
      </c>
      <c r="H479" s="4" t="s">
        <v>2184</v>
      </c>
      <c r="I479" s="4" t="s">
        <v>2185</v>
      </c>
      <c r="J479" s="4" t="s">
        <v>2190</v>
      </c>
      <c r="K479" s="4" t="s">
        <v>2191</v>
      </c>
      <c r="L479" s="6" t="s">
        <v>95</v>
      </c>
    </row>
    <row r="480" spans="1:12" ht="72" customHeight="1">
      <c r="A480" s="4" t="s">
        <v>2192</v>
      </c>
      <c r="B480" s="4" t="s">
        <v>2181</v>
      </c>
      <c r="C480" s="4" t="s">
        <v>2193</v>
      </c>
      <c r="D480" s="4" t="s">
        <v>42</v>
      </c>
      <c r="E480" s="4" t="s">
        <v>33</v>
      </c>
      <c r="F480" s="4" t="s">
        <v>33</v>
      </c>
      <c r="G480" s="4" t="s">
        <v>2183</v>
      </c>
      <c r="H480" s="4" t="s">
        <v>2184</v>
      </c>
      <c r="I480" s="4" t="s">
        <v>2185</v>
      </c>
      <c r="J480" s="4" t="s">
        <v>2194</v>
      </c>
      <c r="K480" s="4" t="s">
        <v>2195</v>
      </c>
      <c r="L480" s="6" t="s">
        <v>110</v>
      </c>
    </row>
    <row r="481" spans="1:12" ht="72" customHeight="1">
      <c r="A481" s="4" t="s">
        <v>2196</v>
      </c>
      <c r="B481" s="4" t="s">
        <v>2197</v>
      </c>
      <c r="C481" s="4" t="s">
        <v>2198</v>
      </c>
      <c r="D481" s="4" t="s">
        <v>42</v>
      </c>
      <c r="E481" s="4" t="s">
        <v>33</v>
      </c>
      <c r="F481" s="4" t="s">
        <v>33</v>
      </c>
      <c r="G481" s="4" t="s">
        <v>2199</v>
      </c>
      <c r="H481" s="4" t="s">
        <v>2200</v>
      </c>
      <c r="I481" s="4" t="s">
        <v>2201</v>
      </c>
      <c r="J481" s="4" t="s">
        <v>2202</v>
      </c>
      <c r="K481" s="4" t="s">
        <v>2203</v>
      </c>
      <c r="L481" s="6" t="s">
        <v>518</v>
      </c>
    </row>
    <row r="482" spans="1:12" ht="72" customHeight="1">
      <c r="A482" s="4" t="s">
        <v>2204</v>
      </c>
      <c r="B482" s="4" t="s">
        <v>2197</v>
      </c>
      <c r="C482" s="4" t="s">
        <v>2205</v>
      </c>
      <c r="D482" s="4" t="s">
        <v>42</v>
      </c>
      <c r="E482" s="4" t="s">
        <v>33</v>
      </c>
      <c r="F482" s="4" t="s">
        <v>33</v>
      </c>
      <c r="G482" s="4" t="s">
        <v>2199</v>
      </c>
      <c r="H482" s="4" t="s">
        <v>2200</v>
      </c>
      <c r="I482" s="4" t="s">
        <v>2201</v>
      </c>
      <c r="J482" s="4" t="s">
        <v>2206</v>
      </c>
      <c r="K482" s="4" t="s">
        <v>2207</v>
      </c>
      <c r="L482" s="6" t="s">
        <v>307</v>
      </c>
    </row>
    <row r="483" spans="1:12" ht="72" customHeight="1">
      <c r="A483" s="4" t="s">
        <v>2208</v>
      </c>
      <c r="B483" s="4" t="s">
        <v>2197</v>
      </c>
      <c r="C483" s="4" t="s">
        <v>2209</v>
      </c>
      <c r="D483" s="4" t="s">
        <v>42</v>
      </c>
      <c r="E483" s="4" t="s">
        <v>33</v>
      </c>
      <c r="F483" s="4" t="s">
        <v>33</v>
      </c>
      <c r="G483" s="4" t="s">
        <v>2199</v>
      </c>
      <c r="H483" s="4" t="s">
        <v>2200</v>
      </c>
      <c r="I483" s="4" t="s">
        <v>2201</v>
      </c>
      <c r="J483" s="4" t="s">
        <v>2210</v>
      </c>
      <c r="K483" s="4" t="s">
        <v>2211</v>
      </c>
      <c r="L483" s="6" t="s">
        <v>110</v>
      </c>
    </row>
    <row r="484" spans="1:12" ht="72" customHeight="1">
      <c r="A484" s="4" t="s">
        <v>2212</v>
      </c>
      <c r="B484" s="4" t="s">
        <v>2213</v>
      </c>
      <c r="C484" s="4" t="s">
        <v>2214</v>
      </c>
      <c r="D484" s="4" t="s">
        <v>32</v>
      </c>
      <c r="E484" s="4" t="s">
        <v>33</v>
      </c>
      <c r="F484" s="4" t="s">
        <v>33</v>
      </c>
      <c r="G484" s="4" t="s">
        <v>2215</v>
      </c>
      <c r="H484" s="4" t="s">
        <v>2216</v>
      </c>
      <c r="I484" s="4" t="s">
        <v>2217</v>
      </c>
      <c r="J484" s="4" t="s">
        <v>2218</v>
      </c>
      <c r="K484" s="4" t="s">
        <v>2219</v>
      </c>
      <c r="L484" s="6" t="s">
        <v>165</v>
      </c>
    </row>
    <row r="485" spans="1:12" ht="72" customHeight="1">
      <c r="A485" s="4" t="s">
        <v>2220</v>
      </c>
      <c r="B485" s="4" t="s">
        <v>2213</v>
      </c>
      <c r="C485" s="4" t="s">
        <v>2221</v>
      </c>
      <c r="D485" s="4" t="s">
        <v>32</v>
      </c>
      <c r="E485" s="4" t="s">
        <v>33</v>
      </c>
      <c r="F485" s="4" t="s">
        <v>33</v>
      </c>
      <c r="G485" s="4" t="s">
        <v>2215</v>
      </c>
      <c r="H485" s="4" t="s">
        <v>2216</v>
      </c>
      <c r="I485" s="4" t="s">
        <v>2217</v>
      </c>
      <c r="J485" s="4" t="s">
        <v>2222</v>
      </c>
      <c r="K485" s="4" t="s">
        <v>2223</v>
      </c>
      <c r="L485" s="6" t="s">
        <v>110</v>
      </c>
    </row>
    <row r="486" spans="1:12" ht="72" customHeight="1">
      <c r="A486" s="4" t="s">
        <v>2224</v>
      </c>
      <c r="B486" s="4" t="s">
        <v>2225</v>
      </c>
      <c r="C486" s="4" t="s">
        <v>2226</v>
      </c>
      <c r="D486" s="4" t="s">
        <v>42</v>
      </c>
      <c r="E486" s="4" t="s">
        <v>33</v>
      </c>
      <c r="F486" s="4" t="s">
        <v>33</v>
      </c>
      <c r="G486" s="4" t="s">
        <v>2227</v>
      </c>
      <c r="H486" s="4" t="s">
        <v>2228</v>
      </c>
      <c r="I486" s="4" t="s">
        <v>2229</v>
      </c>
      <c r="J486" s="4" t="s">
        <v>2230</v>
      </c>
      <c r="K486" s="4" t="s">
        <v>2231</v>
      </c>
      <c r="L486" s="6" t="s">
        <v>165</v>
      </c>
    </row>
    <row r="487" spans="1:12" ht="72" customHeight="1">
      <c r="A487" s="4" t="s">
        <v>2232</v>
      </c>
      <c r="B487" s="4" t="s">
        <v>2225</v>
      </c>
      <c r="C487" s="4" t="s">
        <v>2233</v>
      </c>
      <c r="D487" s="4" t="s">
        <v>42</v>
      </c>
      <c r="E487" s="4" t="s">
        <v>33</v>
      </c>
      <c r="F487" s="4" t="s">
        <v>33</v>
      </c>
      <c r="G487" s="4" t="s">
        <v>2227</v>
      </c>
      <c r="H487" s="4" t="s">
        <v>2228</v>
      </c>
      <c r="I487" s="4" t="s">
        <v>2229</v>
      </c>
      <c r="J487" s="4" t="s">
        <v>2234</v>
      </c>
      <c r="K487" s="4" t="s">
        <v>2235</v>
      </c>
      <c r="L487" s="6" t="s">
        <v>165</v>
      </c>
    </row>
    <row r="488" spans="1:12" ht="72" customHeight="1">
      <c r="A488" s="4" t="s">
        <v>2236</v>
      </c>
      <c r="B488" s="4" t="s">
        <v>2237</v>
      </c>
      <c r="C488" s="4" t="s">
        <v>2238</v>
      </c>
      <c r="D488" s="4" t="s">
        <v>42</v>
      </c>
      <c r="E488" s="4" t="s">
        <v>33</v>
      </c>
      <c r="F488" s="4" t="s">
        <v>33</v>
      </c>
      <c r="G488" s="4" t="s">
        <v>2239</v>
      </c>
      <c r="H488" s="4" t="s">
        <v>2240</v>
      </c>
      <c r="I488" s="4" t="s">
        <v>2241</v>
      </c>
      <c r="J488" s="4" t="s">
        <v>2242</v>
      </c>
      <c r="K488" s="4" t="s">
        <v>2243</v>
      </c>
      <c r="L488" s="6" t="s">
        <v>141</v>
      </c>
    </row>
    <row r="489" spans="1:12" ht="72" customHeight="1">
      <c r="A489" s="4" t="s">
        <v>2244</v>
      </c>
      <c r="B489" s="4" t="s">
        <v>2245</v>
      </c>
      <c r="C489" s="4" t="s">
        <v>2238</v>
      </c>
      <c r="D489" s="4" t="s">
        <v>42</v>
      </c>
      <c r="E489" s="4" t="s">
        <v>9</v>
      </c>
      <c r="F489" s="4" t="s">
        <v>9</v>
      </c>
      <c r="J489" s="4" t="s">
        <v>2242</v>
      </c>
      <c r="K489" s="4" t="s">
        <v>2246</v>
      </c>
      <c r="L489" s="6" t="s">
        <v>141</v>
      </c>
    </row>
    <row r="490" spans="1:12" ht="72" customHeight="1">
      <c r="A490" s="4" t="s">
        <v>2247</v>
      </c>
      <c r="B490" s="4" t="s">
        <v>2248</v>
      </c>
      <c r="C490" s="4" t="s">
        <v>2238</v>
      </c>
      <c r="D490" s="4" t="s">
        <v>42</v>
      </c>
      <c r="E490" s="4" t="s">
        <v>9</v>
      </c>
      <c r="F490" s="4" t="s">
        <v>9</v>
      </c>
      <c r="J490" s="4" t="s">
        <v>2242</v>
      </c>
      <c r="K490" s="4" t="s">
        <v>2249</v>
      </c>
      <c r="L490" s="6" t="s">
        <v>141</v>
      </c>
    </row>
    <row r="491" spans="1:12" ht="72" customHeight="1">
      <c r="A491" s="4" t="s">
        <v>2250</v>
      </c>
      <c r="B491" s="4" t="s">
        <v>2251</v>
      </c>
      <c r="C491" s="4" t="s">
        <v>2238</v>
      </c>
      <c r="D491" s="4" t="s">
        <v>42</v>
      </c>
      <c r="E491" s="4" t="s">
        <v>9</v>
      </c>
      <c r="F491" s="4" t="s">
        <v>9</v>
      </c>
      <c r="J491" s="4" t="s">
        <v>2242</v>
      </c>
      <c r="K491" s="4" t="s">
        <v>2252</v>
      </c>
      <c r="L491" s="6" t="s">
        <v>141</v>
      </c>
    </row>
    <row r="492" spans="1:12" ht="72" customHeight="1">
      <c r="A492" s="4" t="s">
        <v>2253</v>
      </c>
      <c r="B492" s="4" t="s">
        <v>2254</v>
      </c>
      <c r="C492" s="4" t="s">
        <v>2238</v>
      </c>
      <c r="D492" s="4" t="s">
        <v>42</v>
      </c>
      <c r="E492" s="4" t="s">
        <v>9</v>
      </c>
      <c r="F492" s="4" t="s">
        <v>9</v>
      </c>
      <c r="J492" s="4" t="s">
        <v>2242</v>
      </c>
      <c r="K492" s="4" t="s">
        <v>2255</v>
      </c>
      <c r="L492" s="6" t="s">
        <v>141</v>
      </c>
    </row>
    <row r="493" spans="1:12" ht="72" customHeight="1">
      <c r="A493" s="4" t="s">
        <v>2256</v>
      </c>
      <c r="B493" s="4" t="s">
        <v>2257</v>
      </c>
      <c r="C493" s="4" t="s">
        <v>2238</v>
      </c>
      <c r="D493" s="4" t="s">
        <v>42</v>
      </c>
      <c r="E493" s="4" t="s">
        <v>9</v>
      </c>
      <c r="F493" s="4" t="s">
        <v>9</v>
      </c>
      <c r="J493" s="4" t="s">
        <v>2242</v>
      </c>
      <c r="K493" s="4" t="s">
        <v>2258</v>
      </c>
      <c r="L493" s="6" t="s">
        <v>141</v>
      </c>
    </row>
  </sheetData>
  <conditionalFormatting sqref="E2:F493">
    <cfRule type="cellIs" dxfId="0" priority="1" operator="equal">
      <formula>"Implemented; partial verification"</formula>
    </cfRule>
    <cfRule type="cellIs" dxfId="1" priority="2" operator="equal">
      <formula>"In progress (concurrent redesign)"</formula>
    </cfRule>
    <cfRule type="cellIs" dxfId="1" priority="3" operator="equal">
      <formula>"In progress"</formula>
    </cfRule>
    <cfRule type="cellIs" dxfId="2" priority="4" operator="equal">
      <formula>"Not started"</formula>
    </cfRule>
    <cfRule type="cellIs" dxfId="3" priority="5" operator="equal">
      <formula>"Passed"</formula>
    </cfRule>
  </conditionalFormatting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</hyperlinks>
  <pageMargins left="0.7" right="0.7" top="0.75" bottom="0.75" header="0.3" footer="0.3"/>
  <pageSetup fitToHeight="0" orientation="landscape"/>
  <tableParts count="1">
    <tablePart r:id="rId493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8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style="4" customWidth="1"/>
    <col min="2" max="2" width="29.7109375" style="4" customWidth="1"/>
    <col min="3" max="3" width="42.7109375" style="4" customWidth="1"/>
    <col min="4" max="4" width="10.7109375" style="4" customWidth="1"/>
    <col min="5" max="6" width="29.7109375" style="4" customWidth="1"/>
    <col min="7" max="10" width="65.7109375" style="4" customWidth="1"/>
    <col min="11" max="12" width="60.7109375" style="4" customWidth="1"/>
  </cols>
  <sheetData>
    <row r="1" spans="1:12" ht="32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 ht="72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6" t="s">
        <v>39</v>
      </c>
    </row>
    <row r="3" spans="1:12" ht="72" customHeight="1">
      <c r="A3" s="4" t="s">
        <v>40</v>
      </c>
      <c r="B3" s="4" t="s">
        <v>30</v>
      </c>
      <c r="C3" s="4" t="s">
        <v>41</v>
      </c>
      <c r="D3" s="4" t="s">
        <v>42</v>
      </c>
      <c r="E3" s="4" t="s">
        <v>33</v>
      </c>
      <c r="F3" s="4" t="s">
        <v>33</v>
      </c>
      <c r="G3" s="4" t="s">
        <v>43</v>
      </c>
      <c r="H3" s="4" t="s">
        <v>43</v>
      </c>
      <c r="I3" s="4" t="s">
        <v>44</v>
      </c>
      <c r="J3" s="4" t="s">
        <v>45</v>
      </c>
      <c r="K3" s="4" t="s">
        <v>46</v>
      </c>
      <c r="L3" s="6" t="s">
        <v>47</v>
      </c>
    </row>
    <row r="4" spans="1:12" ht="72" customHeight="1">
      <c r="A4" s="4" t="s">
        <v>48</v>
      </c>
      <c r="B4" s="4" t="s">
        <v>30</v>
      </c>
      <c r="C4" s="4" t="s">
        <v>49</v>
      </c>
      <c r="D4" s="4" t="s">
        <v>42</v>
      </c>
      <c r="E4" s="4" t="s">
        <v>33</v>
      </c>
      <c r="F4" s="4" t="s">
        <v>33</v>
      </c>
      <c r="G4" s="4" t="s">
        <v>43</v>
      </c>
      <c r="H4" s="4" t="s">
        <v>43</v>
      </c>
      <c r="I4" s="4" t="s">
        <v>44</v>
      </c>
      <c r="J4" s="4" t="s">
        <v>50</v>
      </c>
      <c r="K4" s="4" t="s">
        <v>51</v>
      </c>
      <c r="L4" s="6" t="s">
        <v>52</v>
      </c>
    </row>
    <row r="5" spans="1:12" ht="72" customHeight="1">
      <c r="A5" s="4" t="s">
        <v>53</v>
      </c>
      <c r="B5" s="4" t="s">
        <v>30</v>
      </c>
      <c r="C5" s="4" t="s">
        <v>54</v>
      </c>
      <c r="D5" s="4" t="s">
        <v>42</v>
      </c>
      <c r="E5" s="4" t="s">
        <v>8</v>
      </c>
      <c r="F5" s="4" t="s">
        <v>8</v>
      </c>
      <c r="G5" s="4" t="s">
        <v>55</v>
      </c>
      <c r="H5" s="4" t="s">
        <v>55</v>
      </c>
      <c r="I5" s="4" t="s">
        <v>56</v>
      </c>
      <c r="J5" s="4" t="s">
        <v>57</v>
      </c>
      <c r="K5" s="4" t="s">
        <v>58</v>
      </c>
      <c r="L5" s="6" t="s">
        <v>39</v>
      </c>
    </row>
    <row r="6" spans="1:12" ht="72" customHeight="1">
      <c r="A6" s="4" t="s">
        <v>59</v>
      </c>
      <c r="B6" s="4" t="s">
        <v>30</v>
      </c>
      <c r="C6" s="4" t="s">
        <v>60</v>
      </c>
      <c r="D6" s="4" t="s">
        <v>32</v>
      </c>
      <c r="E6" s="4" t="s">
        <v>33</v>
      </c>
      <c r="F6" s="4" t="s">
        <v>33</v>
      </c>
      <c r="G6" s="4" t="s">
        <v>61</v>
      </c>
      <c r="H6" s="4" t="s">
        <v>62</v>
      </c>
      <c r="I6" s="4" t="s">
        <v>63</v>
      </c>
      <c r="J6" s="4" t="s">
        <v>64</v>
      </c>
      <c r="K6" s="4" t="s">
        <v>65</v>
      </c>
      <c r="L6" s="6" t="s">
        <v>66</v>
      </c>
    </row>
    <row r="7" spans="1:12" ht="72" customHeight="1">
      <c r="A7" s="4" t="s">
        <v>67</v>
      </c>
      <c r="B7" s="4" t="s">
        <v>30</v>
      </c>
      <c r="C7" s="4" t="s">
        <v>68</v>
      </c>
      <c r="D7" s="4" t="s">
        <v>32</v>
      </c>
      <c r="E7" s="4" t="s">
        <v>33</v>
      </c>
      <c r="F7" s="4" t="s">
        <v>33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73</v>
      </c>
      <c r="L7" s="6" t="s">
        <v>47</v>
      </c>
    </row>
    <row r="8" spans="1:12" ht="72" customHeight="1">
      <c r="A8" s="4" t="s">
        <v>74</v>
      </c>
      <c r="B8" s="4" t="s">
        <v>30</v>
      </c>
      <c r="C8" s="4" t="s">
        <v>75</v>
      </c>
      <c r="D8" s="4" t="s">
        <v>42</v>
      </c>
      <c r="E8" s="4" t="s">
        <v>33</v>
      </c>
      <c r="F8" s="4" t="s">
        <v>33</v>
      </c>
      <c r="G8" s="4" t="s">
        <v>76</v>
      </c>
      <c r="H8" s="4" t="s">
        <v>77</v>
      </c>
      <c r="I8" s="4" t="s">
        <v>78</v>
      </c>
      <c r="J8" s="4" t="s">
        <v>79</v>
      </c>
      <c r="K8" s="4" t="s">
        <v>80</v>
      </c>
      <c r="L8" s="6" t="s">
        <v>81</v>
      </c>
    </row>
    <row r="9" spans="1:12" ht="72" customHeight="1">
      <c r="A9" s="4" t="s">
        <v>82</v>
      </c>
      <c r="B9" s="4" t="s">
        <v>30</v>
      </c>
      <c r="C9" s="4" t="s">
        <v>83</v>
      </c>
      <c r="D9" s="4" t="s">
        <v>42</v>
      </c>
      <c r="E9" s="4" t="s">
        <v>8</v>
      </c>
      <c r="F9" s="4" t="s">
        <v>8</v>
      </c>
      <c r="G9" s="4" t="s">
        <v>84</v>
      </c>
      <c r="H9" s="4" t="s">
        <v>84</v>
      </c>
      <c r="I9" s="4" t="s">
        <v>85</v>
      </c>
      <c r="J9" s="4" t="s">
        <v>86</v>
      </c>
      <c r="K9" s="4" t="s">
        <v>87</v>
      </c>
      <c r="L9" s="6" t="s">
        <v>88</v>
      </c>
    </row>
    <row r="10" spans="1:12" ht="72" customHeight="1">
      <c r="A10" s="4" t="s">
        <v>89</v>
      </c>
      <c r="B10" s="4" t="s">
        <v>30</v>
      </c>
      <c r="C10" s="4" t="s">
        <v>90</v>
      </c>
      <c r="D10" s="4" t="s">
        <v>42</v>
      </c>
      <c r="E10" s="4" t="s">
        <v>8</v>
      </c>
      <c r="F10" s="4" t="s">
        <v>8</v>
      </c>
      <c r="G10" s="4" t="s">
        <v>91</v>
      </c>
      <c r="H10" s="4" t="s">
        <v>91</v>
      </c>
      <c r="I10" s="4" t="s">
        <v>92</v>
      </c>
      <c r="J10" s="4" t="s">
        <v>93</v>
      </c>
      <c r="K10" s="4" t="s">
        <v>94</v>
      </c>
      <c r="L10" s="6" t="s">
        <v>95</v>
      </c>
    </row>
    <row r="11" spans="1:12" ht="72" customHeight="1">
      <c r="A11" s="4" t="s">
        <v>96</v>
      </c>
      <c r="B11" s="4" t="s">
        <v>30</v>
      </c>
      <c r="C11" s="4" t="s">
        <v>97</v>
      </c>
      <c r="D11" s="4" t="s">
        <v>32</v>
      </c>
      <c r="E11" s="4" t="s">
        <v>33</v>
      </c>
      <c r="F11" s="4" t="s">
        <v>33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102</v>
      </c>
      <c r="L11" s="6" t="s">
        <v>103</v>
      </c>
    </row>
    <row r="12" spans="1:12" ht="72" customHeight="1">
      <c r="A12" s="4" t="s">
        <v>104</v>
      </c>
      <c r="B12" s="4" t="s">
        <v>30</v>
      </c>
      <c r="C12" s="4" t="s">
        <v>105</v>
      </c>
      <c r="D12" s="4" t="s">
        <v>42</v>
      </c>
      <c r="E12" s="4" t="s">
        <v>8</v>
      </c>
      <c r="F12" s="4" t="s">
        <v>8</v>
      </c>
      <c r="G12" s="4" t="s">
        <v>106</v>
      </c>
      <c r="H12" s="4" t="s">
        <v>106</v>
      </c>
      <c r="I12" s="4" t="s">
        <v>107</v>
      </c>
      <c r="J12" s="4" t="s">
        <v>108</v>
      </c>
      <c r="K12" s="4" t="s">
        <v>109</v>
      </c>
      <c r="L12" s="6" t="s">
        <v>110</v>
      </c>
    </row>
    <row r="13" spans="1:12" ht="72" customHeight="1">
      <c r="A13" s="4" t="s">
        <v>111</v>
      </c>
      <c r="B13" s="4" t="s">
        <v>30</v>
      </c>
      <c r="C13" s="4" t="s">
        <v>112</v>
      </c>
      <c r="D13" s="4" t="s">
        <v>42</v>
      </c>
      <c r="E13" s="4" t="s">
        <v>8</v>
      </c>
      <c r="F13" s="4" t="s">
        <v>8</v>
      </c>
      <c r="G13" s="4" t="s">
        <v>113</v>
      </c>
      <c r="I13" s="4" t="s">
        <v>78</v>
      </c>
      <c r="J13" s="4" t="s">
        <v>114</v>
      </c>
      <c r="K13" s="4" t="s">
        <v>115</v>
      </c>
      <c r="L13" s="6" t="s">
        <v>116</v>
      </c>
    </row>
    <row r="14" spans="1:12" ht="72" customHeight="1">
      <c r="A14" s="4" t="s">
        <v>117</v>
      </c>
      <c r="B14" s="4" t="s">
        <v>30</v>
      </c>
      <c r="C14" s="4" t="s">
        <v>118</v>
      </c>
      <c r="D14" s="4" t="s">
        <v>42</v>
      </c>
      <c r="E14" s="4" t="s">
        <v>8</v>
      </c>
      <c r="F14" s="4" t="s">
        <v>8</v>
      </c>
      <c r="I14" s="4" t="s">
        <v>78</v>
      </c>
      <c r="J14" s="4" t="s">
        <v>119</v>
      </c>
      <c r="K14" s="4" t="s">
        <v>120</v>
      </c>
      <c r="L14" s="6" t="s">
        <v>116</v>
      </c>
    </row>
    <row r="15" spans="1:12" ht="72" customHeight="1">
      <c r="A15" s="4" t="s">
        <v>121</v>
      </c>
      <c r="B15" s="4" t="s">
        <v>30</v>
      </c>
      <c r="C15" s="4" t="s">
        <v>122</v>
      </c>
      <c r="D15" s="4" t="s">
        <v>42</v>
      </c>
      <c r="E15" s="4" t="s">
        <v>8</v>
      </c>
      <c r="F15" s="4" t="s">
        <v>8</v>
      </c>
      <c r="G15" s="4" t="s">
        <v>123</v>
      </c>
      <c r="H15" s="4" t="s">
        <v>123</v>
      </c>
      <c r="I15" s="4" t="s">
        <v>124</v>
      </c>
      <c r="J15" s="4" t="s">
        <v>125</v>
      </c>
      <c r="K15" s="4" t="s">
        <v>126</v>
      </c>
      <c r="L15" s="6" t="s">
        <v>116</v>
      </c>
    </row>
    <row r="16" spans="1:12" ht="72" customHeight="1">
      <c r="A16" s="4" t="s">
        <v>127</v>
      </c>
      <c r="B16" s="4" t="s">
        <v>128</v>
      </c>
      <c r="C16" s="4" t="s">
        <v>129</v>
      </c>
      <c r="D16" s="4" t="s">
        <v>32</v>
      </c>
      <c r="E16" s="4" t="s">
        <v>33</v>
      </c>
      <c r="F16" s="4" t="s">
        <v>33</v>
      </c>
      <c r="G16" s="4" t="s">
        <v>130</v>
      </c>
      <c r="H16" s="4" t="s">
        <v>131</v>
      </c>
      <c r="I16" s="4" t="s">
        <v>132</v>
      </c>
      <c r="J16" s="4" t="s">
        <v>133</v>
      </c>
      <c r="K16" s="4" t="s">
        <v>134</v>
      </c>
      <c r="L16" s="6" t="s">
        <v>39</v>
      </c>
    </row>
    <row r="17" spans="1:12" ht="72" customHeight="1">
      <c r="A17" s="4" t="s">
        <v>135</v>
      </c>
      <c r="B17" s="4" t="s">
        <v>128</v>
      </c>
      <c r="C17" s="4" t="s">
        <v>136</v>
      </c>
      <c r="D17" s="4" t="s">
        <v>32</v>
      </c>
      <c r="E17" s="4" t="s">
        <v>33</v>
      </c>
      <c r="F17" s="4" t="s">
        <v>33</v>
      </c>
      <c r="G17" s="4" t="s">
        <v>137</v>
      </c>
      <c r="H17" s="4" t="s">
        <v>138</v>
      </c>
      <c r="I17" s="4" t="s">
        <v>132</v>
      </c>
      <c r="J17" s="4" t="s">
        <v>139</v>
      </c>
      <c r="K17" s="4" t="s">
        <v>140</v>
      </c>
      <c r="L17" s="6" t="s">
        <v>141</v>
      </c>
    </row>
    <row r="18" spans="1:12" ht="72" customHeight="1">
      <c r="A18" s="4" t="s">
        <v>142</v>
      </c>
      <c r="B18" s="4" t="s">
        <v>128</v>
      </c>
      <c r="C18" s="4" t="s">
        <v>143</v>
      </c>
      <c r="D18" s="4" t="s">
        <v>32</v>
      </c>
      <c r="E18" s="4" t="s">
        <v>33</v>
      </c>
      <c r="F18" s="4" t="s">
        <v>33</v>
      </c>
      <c r="G18" s="4" t="s">
        <v>144</v>
      </c>
      <c r="H18" s="4" t="s">
        <v>145</v>
      </c>
      <c r="I18" s="4" t="s">
        <v>132</v>
      </c>
      <c r="J18" s="4" t="s">
        <v>146</v>
      </c>
      <c r="K18" s="4" t="s">
        <v>134</v>
      </c>
      <c r="L18" s="6" t="s">
        <v>147</v>
      </c>
    </row>
    <row r="19" spans="1:12" ht="72" customHeight="1">
      <c r="A19" s="4" t="s">
        <v>148</v>
      </c>
      <c r="B19" s="4" t="s">
        <v>128</v>
      </c>
      <c r="C19" s="4" t="s">
        <v>149</v>
      </c>
      <c r="D19" s="4" t="s">
        <v>32</v>
      </c>
      <c r="E19" s="4" t="s">
        <v>33</v>
      </c>
      <c r="F19" s="4" t="s">
        <v>33</v>
      </c>
      <c r="G19" s="4" t="s">
        <v>150</v>
      </c>
      <c r="H19" s="4" t="s">
        <v>151</v>
      </c>
      <c r="I19" s="4" t="s">
        <v>132</v>
      </c>
      <c r="J19" s="4" t="s">
        <v>152</v>
      </c>
      <c r="K19" s="4" t="s">
        <v>134</v>
      </c>
      <c r="L19" s="6" t="s">
        <v>153</v>
      </c>
    </row>
    <row r="20" spans="1:12" ht="72" customHeight="1">
      <c r="A20" s="4" t="s">
        <v>154</v>
      </c>
      <c r="B20" s="4" t="s">
        <v>128</v>
      </c>
      <c r="C20" s="4" t="s">
        <v>155</v>
      </c>
      <c r="D20" s="4" t="s">
        <v>32</v>
      </c>
      <c r="E20" s="4" t="s">
        <v>33</v>
      </c>
      <c r="F20" s="4" t="s">
        <v>33</v>
      </c>
      <c r="G20" s="4" t="s">
        <v>156</v>
      </c>
      <c r="H20" s="4" t="s">
        <v>157</v>
      </c>
      <c r="I20" s="4" t="s">
        <v>132</v>
      </c>
      <c r="J20" s="4" t="s">
        <v>158</v>
      </c>
      <c r="K20" s="4" t="s">
        <v>134</v>
      </c>
      <c r="L20" s="6" t="s">
        <v>159</v>
      </c>
    </row>
    <row r="21" spans="1:12" ht="72" customHeight="1">
      <c r="A21" s="4" t="s">
        <v>160</v>
      </c>
      <c r="B21" s="4" t="s">
        <v>128</v>
      </c>
      <c r="C21" s="4" t="s">
        <v>161</v>
      </c>
      <c r="D21" s="4" t="s">
        <v>32</v>
      </c>
      <c r="E21" s="4" t="s">
        <v>33</v>
      </c>
      <c r="F21" s="4" t="s">
        <v>33</v>
      </c>
      <c r="G21" s="4" t="s">
        <v>162</v>
      </c>
      <c r="H21" s="4" t="s">
        <v>163</v>
      </c>
      <c r="I21" s="4" t="s">
        <v>132</v>
      </c>
      <c r="J21" s="4" t="s">
        <v>164</v>
      </c>
      <c r="K21" s="4" t="s">
        <v>134</v>
      </c>
      <c r="L21" s="6" t="s">
        <v>165</v>
      </c>
    </row>
    <row r="22" spans="1:12" ht="72" customHeight="1">
      <c r="A22" s="4" t="s">
        <v>166</v>
      </c>
      <c r="B22" s="4" t="s">
        <v>128</v>
      </c>
      <c r="C22" s="4" t="s">
        <v>167</v>
      </c>
      <c r="D22" s="4" t="s">
        <v>32</v>
      </c>
      <c r="E22" s="4" t="s">
        <v>33</v>
      </c>
      <c r="F22" s="4" t="s">
        <v>33</v>
      </c>
      <c r="G22" s="4" t="s">
        <v>168</v>
      </c>
      <c r="H22" s="4" t="s">
        <v>169</v>
      </c>
      <c r="I22" s="4" t="s">
        <v>132</v>
      </c>
      <c r="J22" s="4" t="s">
        <v>170</v>
      </c>
      <c r="K22" s="4" t="s">
        <v>134</v>
      </c>
      <c r="L22" s="6" t="s">
        <v>165</v>
      </c>
    </row>
    <row r="23" spans="1:12" ht="72" customHeight="1">
      <c r="A23" s="4" t="s">
        <v>171</v>
      </c>
      <c r="B23" s="4" t="s">
        <v>128</v>
      </c>
      <c r="C23" s="4" t="s">
        <v>172</v>
      </c>
      <c r="D23" s="4" t="s">
        <v>32</v>
      </c>
      <c r="E23" s="4" t="s">
        <v>33</v>
      </c>
      <c r="F23" s="4" t="s">
        <v>33</v>
      </c>
      <c r="G23" s="4" t="s">
        <v>173</v>
      </c>
      <c r="H23" s="4" t="s">
        <v>174</v>
      </c>
      <c r="I23" s="4" t="s">
        <v>132</v>
      </c>
      <c r="J23" s="4" t="s">
        <v>175</v>
      </c>
      <c r="K23" s="4" t="s">
        <v>176</v>
      </c>
      <c r="L23" s="6" t="s">
        <v>153</v>
      </c>
    </row>
    <row r="24" spans="1:12" ht="72" customHeight="1">
      <c r="A24" s="4" t="s">
        <v>177</v>
      </c>
      <c r="B24" s="4" t="s">
        <v>128</v>
      </c>
      <c r="C24" s="4" t="s">
        <v>178</v>
      </c>
      <c r="D24" s="4" t="s">
        <v>32</v>
      </c>
      <c r="E24" s="4" t="s">
        <v>33</v>
      </c>
      <c r="F24" s="4" t="s">
        <v>33</v>
      </c>
      <c r="G24" s="4" t="s">
        <v>179</v>
      </c>
      <c r="H24" s="4" t="s">
        <v>180</v>
      </c>
      <c r="I24" s="4" t="s">
        <v>181</v>
      </c>
      <c r="J24" s="4" t="s">
        <v>182</v>
      </c>
      <c r="K24" s="4" t="s">
        <v>134</v>
      </c>
      <c r="L24" s="6" t="s">
        <v>183</v>
      </c>
    </row>
    <row r="25" spans="1:12" ht="72" customHeight="1">
      <c r="A25" s="4" t="s">
        <v>184</v>
      </c>
      <c r="B25" s="4" t="s">
        <v>128</v>
      </c>
      <c r="C25" s="4" t="s">
        <v>185</v>
      </c>
      <c r="D25" s="4" t="s">
        <v>32</v>
      </c>
      <c r="E25" s="4" t="s">
        <v>33</v>
      </c>
      <c r="F25" s="4" t="s">
        <v>33</v>
      </c>
      <c r="G25" s="4" t="s">
        <v>186</v>
      </c>
      <c r="H25" s="4" t="s">
        <v>187</v>
      </c>
      <c r="I25" s="4" t="s">
        <v>132</v>
      </c>
      <c r="J25" s="4" t="s">
        <v>188</v>
      </c>
      <c r="K25" s="4" t="s">
        <v>134</v>
      </c>
      <c r="L25" s="6" t="s">
        <v>110</v>
      </c>
    </row>
    <row r="26" spans="1:12" ht="72" customHeight="1">
      <c r="A26" s="4" t="s">
        <v>189</v>
      </c>
      <c r="B26" s="4" t="s">
        <v>190</v>
      </c>
      <c r="C26" s="4" t="s">
        <v>191</v>
      </c>
      <c r="D26" s="4" t="s">
        <v>42</v>
      </c>
      <c r="E26" s="4" t="s">
        <v>33</v>
      </c>
      <c r="F26" s="4" t="s">
        <v>33</v>
      </c>
      <c r="G26" s="4" t="s">
        <v>192</v>
      </c>
      <c r="H26" s="4" t="s">
        <v>192</v>
      </c>
      <c r="I26" s="4" t="s">
        <v>193</v>
      </c>
      <c r="J26" s="4" t="s">
        <v>194</v>
      </c>
      <c r="K26" s="4" t="s">
        <v>195</v>
      </c>
      <c r="L26" s="6" t="s">
        <v>39</v>
      </c>
    </row>
    <row r="27" spans="1:12" ht="72" customHeight="1">
      <c r="A27" s="4" t="s">
        <v>196</v>
      </c>
      <c r="B27" s="4" t="s">
        <v>190</v>
      </c>
      <c r="C27" s="4" t="s">
        <v>197</v>
      </c>
      <c r="D27" s="4" t="s">
        <v>42</v>
      </c>
      <c r="E27" s="4" t="s">
        <v>33</v>
      </c>
      <c r="F27" s="4" t="s">
        <v>33</v>
      </c>
      <c r="G27" s="4" t="s">
        <v>198</v>
      </c>
      <c r="H27" s="4" t="s">
        <v>198</v>
      </c>
      <c r="I27" s="4" t="s">
        <v>193</v>
      </c>
      <c r="J27" s="4" t="s">
        <v>199</v>
      </c>
      <c r="K27" s="4" t="s">
        <v>200</v>
      </c>
      <c r="L27" s="6" t="s">
        <v>159</v>
      </c>
    </row>
    <row r="28" spans="1:12" ht="72" customHeight="1">
      <c r="A28" s="4" t="s">
        <v>201</v>
      </c>
      <c r="B28" s="4" t="s">
        <v>190</v>
      </c>
      <c r="C28" s="4" t="s">
        <v>202</v>
      </c>
      <c r="D28" s="4" t="s">
        <v>42</v>
      </c>
      <c r="E28" s="4" t="s">
        <v>33</v>
      </c>
      <c r="F28" s="4" t="s">
        <v>33</v>
      </c>
      <c r="G28" s="4" t="s">
        <v>203</v>
      </c>
      <c r="H28" s="4" t="s">
        <v>203</v>
      </c>
      <c r="I28" s="4" t="s">
        <v>193</v>
      </c>
      <c r="J28" s="4" t="s">
        <v>204</v>
      </c>
      <c r="K28" s="4" t="s">
        <v>205</v>
      </c>
      <c r="L28" s="6" t="s">
        <v>141</v>
      </c>
    </row>
    <row r="29" spans="1:12" ht="72" customHeight="1">
      <c r="A29" s="4" t="s">
        <v>206</v>
      </c>
      <c r="B29" s="4" t="s">
        <v>190</v>
      </c>
      <c r="C29" s="4" t="s">
        <v>207</v>
      </c>
      <c r="D29" s="4" t="s">
        <v>42</v>
      </c>
      <c r="E29" s="4" t="s">
        <v>33</v>
      </c>
      <c r="F29" s="4" t="s">
        <v>33</v>
      </c>
      <c r="G29" s="4" t="s">
        <v>208</v>
      </c>
      <c r="H29" s="4" t="s">
        <v>208</v>
      </c>
      <c r="I29" s="4" t="s">
        <v>193</v>
      </c>
      <c r="J29" s="4" t="s">
        <v>209</v>
      </c>
      <c r="K29" s="4" t="s">
        <v>210</v>
      </c>
      <c r="L29" s="6" t="s">
        <v>159</v>
      </c>
    </row>
    <row r="30" spans="1:12" ht="72" customHeight="1">
      <c r="A30" s="4" t="s">
        <v>211</v>
      </c>
      <c r="B30" s="4" t="s">
        <v>190</v>
      </c>
      <c r="C30" s="4" t="s">
        <v>212</v>
      </c>
      <c r="D30" s="4" t="s">
        <v>42</v>
      </c>
      <c r="E30" s="4" t="s">
        <v>33</v>
      </c>
      <c r="F30" s="4" t="s">
        <v>33</v>
      </c>
      <c r="G30" s="4" t="s">
        <v>213</v>
      </c>
      <c r="H30" s="4" t="s">
        <v>213</v>
      </c>
      <c r="I30" s="4" t="s">
        <v>193</v>
      </c>
      <c r="J30" s="4" t="s">
        <v>214</v>
      </c>
      <c r="K30" s="4" t="s">
        <v>215</v>
      </c>
      <c r="L30" s="6" t="s">
        <v>95</v>
      </c>
    </row>
    <row r="31" spans="1:12" ht="72" customHeight="1">
      <c r="A31" s="4" t="s">
        <v>216</v>
      </c>
      <c r="B31" s="4" t="s">
        <v>190</v>
      </c>
      <c r="C31" s="4" t="s">
        <v>217</v>
      </c>
      <c r="D31" s="4" t="s">
        <v>42</v>
      </c>
      <c r="E31" s="4" t="s">
        <v>33</v>
      </c>
      <c r="F31" s="4" t="s">
        <v>33</v>
      </c>
      <c r="G31" s="4" t="s">
        <v>218</v>
      </c>
      <c r="H31" s="4" t="s">
        <v>218</v>
      </c>
      <c r="I31" s="4" t="s">
        <v>193</v>
      </c>
      <c r="J31" s="4" t="s">
        <v>219</v>
      </c>
      <c r="K31" s="4" t="s">
        <v>220</v>
      </c>
      <c r="L31" s="6" t="s">
        <v>81</v>
      </c>
    </row>
    <row r="32" spans="1:12" ht="72" customHeight="1">
      <c r="A32" s="4" t="s">
        <v>221</v>
      </c>
      <c r="B32" s="4" t="s">
        <v>190</v>
      </c>
      <c r="C32" s="4" t="s">
        <v>222</v>
      </c>
      <c r="D32" s="4" t="s">
        <v>42</v>
      </c>
      <c r="E32" s="4" t="s">
        <v>33</v>
      </c>
      <c r="F32" s="4" t="s">
        <v>33</v>
      </c>
      <c r="G32" s="4" t="s">
        <v>223</v>
      </c>
      <c r="H32" s="4" t="s">
        <v>223</v>
      </c>
      <c r="I32" s="4" t="s">
        <v>193</v>
      </c>
      <c r="J32" s="4" t="s">
        <v>224</v>
      </c>
      <c r="K32" s="4" t="s">
        <v>225</v>
      </c>
      <c r="L32" s="6" t="s">
        <v>88</v>
      </c>
    </row>
    <row r="33" spans="1:12" ht="72" customHeight="1">
      <c r="A33" s="4" t="s">
        <v>226</v>
      </c>
      <c r="B33" s="4" t="s">
        <v>190</v>
      </c>
      <c r="C33" s="4" t="s">
        <v>227</v>
      </c>
      <c r="D33" s="4" t="s">
        <v>42</v>
      </c>
      <c r="E33" s="4" t="s">
        <v>33</v>
      </c>
      <c r="F33" s="4" t="s">
        <v>33</v>
      </c>
      <c r="G33" s="4" t="s">
        <v>228</v>
      </c>
      <c r="H33" s="4" t="s">
        <v>228</v>
      </c>
      <c r="I33" s="4" t="s">
        <v>193</v>
      </c>
      <c r="J33" s="4" t="s">
        <v>229</v>
      </c>
      <c r="K33" s="4" t="s">
        <v>230</v>
      </c>
      <c r="L33" s="6" t="s">
        <v>116</v>
      </c>
    </row>
    <row r="34" spans="1:12" ht="72" customHeight="1">
      <c r="A34" s="4" t="s">
        <v>231</v>
      </c>
      <c r="B34" s="4" t="s">
        <v>190</v>
      </c>
      <c r="C34" s="4" t="s">
        <v>232</v>
      </c>
      <c r="D34" s="4" t="s">
        <v>42</v>
      </c>
      <c r="E34" s="4" t="s">
        <v>33</v>
      </c>
      <c r="F34" s="4" t="s">
        <v>33</v>
      </c>
      <c r="G34" s="4" t="s">
        <v>233</v>
      </c>
      <c r="H34" s="4" t="s">
        <v>233</v>
      </c>
      <c r="I34" s="4" t="s">
        <v>193</v>
      </c>
      <c r="J34" s="4" t="s">
        <v>234</v>
      </c>
      <c r="K34" s="4" t="s">
        <v>230</v>
      </c>
      <c r="L34" s="6" t="s">
        <v>165</v>
      </c>
    </row>
    <row r="35" spans="1:12" ht="72" customHeight="1">
      <c r="A35" s="4" t="s">
        <v>235</v>
      </c>
      <c r="B35" s="4" t="s">
        <v>236</v>
      </c>
      <c r="C35" s="4" t="s">
        <v>237</v>
      </c>
      <c r="D35" s="4" t="s">
        <v>42</v>
      </c>
      <c r="E35" s="4" t="s">
        <v>33</v>
      </c>
      <c r="F35" s="4" t="s">
        <v>33</v>
      </c>
      <c r="G35" s="4" t="s">
        <v>238</v>
      </c>
      <c r="H35" s="4" t="s">
        <v>238</v>
      </c>
      <c r="I35" s="4" t="s">
        <v>239</v>
      </c>
      <c r="J35" s="4" t="s">
        <v>240</v>
      </c>
      <c r="K35" s="4" t="s">
        <v>241</v>
      </c>
      <c r="L35" s="6" t="s">
        <v>39</v>
      </c>
    </row>
    <row r="36" spans="1:12" ht="72" customHeight="1">
      <c r="A36" s="4" t="s">
        <v>242</v>
      </c>
      <c r="B36" s="4" t="s">
        <v>236</v>
      </c>
      <c r="C36" s="4" t="s">
        <v>243</v>
      </c>
      <c r="D36" s="4" t="s">
        <v>42</v>
      </c>
      <c r="E36" s="4" t="s">
        <v>33</v>
      </c>
      <c r="F36" s="4" t="s">
        <v>33</v>
      </c>
      <c r="G36" s="4" t="s">
        <v>244</v>
      </c>
      <c r="H36" s="4" t="s">
        <v>244</v>
      </c>
      <c r="I36" s="4" t="s">
        <v>239</v>
      </c>
      <c r="J36" s="4" t="s">
        <v>245</v>
      </c>
      <c r="K36" s="4" t="s">
        <v>246</v>
      </c>
      <c r="L36" s="6" t="s">
        <v>159</v>
      </c>
    </row>
    <row r="37" spans="1:12" ht="72" customHeight="1">
      <c r="A37" s="4" t="s">
        <v>247</v>
      </c>
      <c r="B37" s="4" t="s">
        <v>236</v>
      </c>
      <c r="C37" s="4" t="s">
        <v>248</v>
      </c>
      <c r="D37" s="4" t="s">
        <v>42</v>
      </c>
      <c r="E37" s="4" t="s">
        <v>33</v>
      </c>
      <c r="F37" s="4" t="s">
        <v>33</v>
      </c>
      <c r="G37" s="4" t="s">
        <v>249</v>
      </c>
      <c r="H37" s="4" t="s">
        <v>249</v>
      </c>
      <c r="I37" s="4" t="s">
        <v>239</v>
      </c>
      <c r="J37" s="4" t="s">
        <v>250</v>
      </c>
      <c r="K37" s="4" t="s">
        <v>241</v>
      </c>
      <c r="L37" s="6" t="s">
        <v>165</v>
      </c>
    </row>
    <row r="38" spans="1:12" ht="72" customHeight="1">
      <c r="A38" s="4" t="s">
        <v>251</v>
      </c>
      <c r="B38" s="4" t="s">
        <v>236</v>
      </c>
      <c r="C38" s="4" t="s">
        <v>252</v>
      </c>
      <c r="D38" s="4" t="s">
        <v>42</v>
      </c>
      <c r="E38" s="4" t="s">
        <v>33</v>
      </c>
      <c r="F38" s="4" t="s">
        <v>33</v>
      </c>
      <c r="G38" s="4" t="s">
        <v>253</v>
      </c>
      <c r="H38" s="4" t="s">
        <v>253</v>
      </c>
      <c r="I38" s="4" t="s">
        <v>239</v>
      </c>
      <c r="J38" s="4" t="s">
        <v>254</v>
      </c>
      <c r="K38" s="4" t="s">
        <v>241</v>
      </c>
      <c r="L38" s="6" t="s">
        <v>153</v>
      </c>
    </row>
    <row r="39" spans="1:12" ht="72" customHeight="1">
      <c r="A39" s="4" t="s">
        <v>255</v>
      </c>
      <c r="B39" s="4" t="s">
        <v>236</v>
      </c>
      <c r="C39" s="4" t="s">
        <v>256</v>
      </c>
      <c r="D39" s="4" t="s">
        <v>42</v>
      </c>
      <c r="E39" s="4" t="s">
        <v>33</v>
      </c>
      <c r="F39" s="4" t="s">
        <v>33</v>
      </c>
      <c r="G39" s="4" t="s">
        <v>257</v>
      </c>
      <c r="H39" s="4" t="s">
        <v>257</v>
      </c>
      <c r="I39" s="4" t="s">
        <v>239</v>
      </c>
      <c r="J39" s="4" t="s">
        <v>258</v>
      </c>
      <c r="K39" s="4" t="s">
        <v>259</v>
      </c>
      <c r="L39" s="6" t="s">
        <v>95</v>
      </c>
    </row>
    <row r="40" spans="1:12" ht="72" customHeight="1">
      <c r="A40" s="4" t="s">
        <v>260</v>
      </c>
      <c r="B40" s="4" t="s">
        <v>236</v>
      </c>
      <c r="C40" s="4" t="s">
        <v>261</v>
      </c>
      <c r="D40" s="4" t="s">
        <v>42</v>
      </c>
      <c r="E40" s="4" t="s">
        <v>33</v>
      </c>
      <c r="F40" s="4" t="s">
        <v>33</v>
      </c>
      <c r="G40" s="4" t="s">
        <v>262</v>
      </c>
      <c r="H40" s="4" t="s">
        <v>262</v>
      </c>
      <c r="I40" s="4" t="s">
        <v>239</v>
      </c>
      <c r="J40" s="4" t="s">
        <v>263</v>
      </c>
      <c r="K40" s="4" t="s">
        <v>241</v>
      </c>
      <c r="L40" s="6" t="s">
        <v>165</v>
      </c>
    </row>
    <row r="41" spans="1:12" ht="72" customHeight="1">
      <c r="A41" s="4" t="s">
        <v>264</v>
      </c>
      <c r="B41" s="4" t="s">
        <v>236</v>
      </c>
      <c r="C41" s="4" t="s">
        <v>265</v>
      </c>
      <c r="D41" s="4" t="s">
        <v>42</v>
      </c>
      <c r="E41" s="4" t="s">
        <v>33</v>
      </c>
      <c r="F41" s="4" t="s">
        <v>33</v>
      </c>
      <c r="G41" s="4" t="s">
        <v>266</v>
      </c>
      <c r="H41" s="4" t="s">
        <v>266</v>
      </c>
      <c r="I41" s="4" t="s">
        <v>239</v>
      </c>
      <c r="J41" s="4" t="s">
        <v>267</v>
      </c>
      <c r="K41" s="4" t="s">
        <v>241</v>
      </c>
      <c r="L41" s="6" t="s">
        <v>110</v>
      </c>
    </row>
    <row r="42" spans="1:12" ht="72" customHeight="1">
      <c r="A42" s="4" t="s">
        <v>268</v>
      </c>
      <c r="B42" s="4" t="s">
        <v>269</v>
      </c>
      <c r="C42" s="4" t="s">
        <v>270</v>
      </c>
      <c r="D42" s="4" t="s">
        <v>42</v>
      </c>
      <c r="E42" s="4" t="s">
        <v>33</v>
      </c>
      <c r="F42" s="4" t="s">
        <v>33</v>
      </c>
      <c r="G42" s="4" t="s">
        <v>271</v>
      </c>
      <c r="H42" s="4" t="s">
        <v>271</v>
      </c>
      <c r="I42" s="4" t="s">
        <v>272</v>
      </c>
      <c r="J42" s="4" t="s">
        <v>273</v>
      </c>
      <c r="K42" s="4" t="s">
        <v>274</v>
      </c>
      <c r="L42" s="6" t="s">
        <v>39</v>
      </c>
    </row>
    <row r="43" spans="1:12" ht="72" customHeight="1">
      <c r="A43" s="4" t="s">
        <v>275</v>
      </c>
      <c r="B43" s="4" t="s">
        <v>269</v>
      </c>
      <c r="C43" s="4" t="s">
        <v>276</v>
      </c>
      <c r="D43" s="4" t="s">
        <v>42</v>
      </c>
      <c r="E43" s="4" t="s">
        <v>33</v>
      </c>
      <c r="F43" s="4" t="s">
        <v>33</v>
      </c>
      <c r="G43" s="4" t="s">
        <v>271</v>
      </c>
      <c r="H43" s="4" t="s">
        <v>271</v>
      </c>
      <c r="I43" s="4" t="s">
        <v>272</v>
      </c>
      <c r="J43" s="4" t="s">
        <v>277</v>
      </c>
      <c r="K43" s="4" t="s">
        <v>278</v>
      </c>
      <c r="L43" s="6" t="s">
        <v>147</v>
      </c>
    </row>
    <row r="44" spans="1:12" ht="72" customHeight="1">
      <c r="A44" s="4" t="s">
        <v>279</v>
      </c>
      <c r="B44" s="4" t="s">
        <v>269</v>
      </c>
      <c r="C44" s="4" t="s">
        <v>280</v>
      </c>
      <c r="D44" s="4" t="s">
        <v>42</v>
      </c>
      <c r="E44" s="4" t="s">
        <v>33</v>
      </c>
      <c r="F44" s="4" t="s">
        <v>33</v>
      </c>
      <c r="G44" s="4" t="s">
        <v>271</v>
      </c>
      <c r="H44" s="4" t="s">
        <v>271</v>
      </c>
      <c r="I44" s="4" t="s">
        <v>272</v>
      </c>
      <c r="J44" s="4" t="s">
        <v>281</v>
      </c>
      <c r="K44" s="4" t="s">
        <v>282</v>
      </c>
      <c r="L44" s="6" t="s">
        <v>165</v>
      </c>
    </row>
    <row r="45" spans="1:12" ht="72" customHeight="1">
      <c r="A45" s="4" t="s">
        <v>283</v>
      </c>
      <c r="B45" s="4" t="s">
        <v>269</v>
      </c>
      <c r="C45" s="4" t="s">
        <v>284</v>
      </c>
      <c r="D45" s="4" t="s">
        <v>42</v>
      </c>
      <c r="E45" s="4" t="s">
        <v>33</v>
      </c>
      <c r="F45" s="4" t="s">
        <v>33</v>
      </c>
      <c r="G45" s="4" t="s">
        <v>271</v>
      </c>
      <c r="H45" s="4" t="s">
        <v>271</v>
      </c>
      <c r="I45" s="4" t="s">
        <v>272</v>
      </c>
      <c r="J45" s="4" t="s">
        <v>285</v>
      </c>
      <c r="K45" s="4" t="s">
        <v>286</v>
      </c>
      <c r="L45" s="6" t="s">
        <v>159</v>
      </c>
    </row>
    <row r="46" spans="1:12" ht="72" customHeight="1">
      <c r="A46" s="4" t="s">
        <v>287</v>
      </c>
      <c r="B46" s="4" t="s">
        <v>269</v>
      </c>
      <c r="C46" s="4" t="s">
        <v>288</v>
      </c>
      <c r="D46" s="4" t="s">
        <v>42</v>
      </c>
      <c r="E46" s="4" t="s">
        <v>33</v>
      </c>
      <c r="F46" s="4" t="s">
        <v>33</v>
      </c>
      <c r="G46" s="4" t="s">
        <v>271</v>
      </c>
      <c r="H46" s="4" t="s">
        <v>271</v>
      </c>
      <c r="I46" s="4" t="s">
        <v>272</v>
      </c>
      <c r="J46" s="4" t="s">
        <v>289</v>
      </c>
      <c r="K46" s="4" t="s">
        <v>290</v>
      </c>
      <c r="L46" s="6" t="s">
        <v>88</v>
      </c>
    </row>
    <row r="47" spans="1:12" ht="72" customHeight="1">
      <c r="A47" s="4" t="s">
        <v>291</v>
      </c>
      <c r="B47" s="4" t="s">
        <v>292</v>
      </c>
      <c r="C47" s="4" t="s">
        <v>293</v>
      </c>
      <c r="D47" s="4" t="s">
        <v>42</v>
      </c>
      <c r="E47" s="4" t="s">
        <v>33</v>
      </c>
      <c r="F47" s="4" t="s">
        <v>33</v>
      </c>
      <c r="G47" s="4" t="s">
        <v>294</v>
      </c>
      <c r="H47" s="4" t="s">
        <v>295</v>
      </c>
      <c r="I47" s="4" t="s">
        <v>296</v>
      </c>
      <c r="J47" s="4" t="s">
        <v>297</v>
      </c>
      <c r="K47" s="4" t="s">
        <v>298</v>
      </c>
      <c r="L47" s="6" t="s">
        <v>39</v>
      </c>
    </row>
    <row r="48" spans="1:12" ht="72" customHeight="1">
      <c r="A48" s="4" t="s">
        <v>299</v>
      </c>
      <c r="B48" s="4" t="s">
        <v>292</v>
      </c>
      <c r="C48" s="4" t="s">
        <v>300</v>
      </c>
      <c r="D48" s="4" t="s">
        <v>42</v>
      </c>
      <c r="E48" s="4" t="s">
        <v>33</v>
      </c>
      <c r="F48" s="4" t="s">
        <v>33</v>
      </c>
      <c r="G48" s="4" t="s">
        <v>294</v>
      </c>
      <c r="H48" s="4" t="s">
        <v>295</v>
      </c>
      <c r="I48" s="4" t="s">
        <v>296</v>
      </c>
      <c r="J48" s="4" t="s">
        <v>301</v>
      </c>
      <c r="K48" s="4" t="s">
        <v>302</v>
      </c>
      <c r="L48" s="6" t="s">
        <v>88</v>
      </c>
    </row>
    <row r="49" spans="1:12" ht="72" customHeight="1">
      <c r="A49" s="4" t="s">
        <v>303</v>
      </c>
      <c r="B49" s="4" t="s">
        <v>292</v>
      </c>
      <c r="C49" s="4" t="s">
        <v>304</v>
      </c>
      <c r="D49" s="4" t="s">
        <v>42</v>
      </c>
      <c r="E49" s="4" t="s">
        <v>33</v>
      </c>
      <c r="F49" s="4" t="s">
        <v>33</v>
      </c>
      <c r="G49" s="4" t="s">
        <v>294</v>
      </c>
      <c r="H49" s="4" t="s">
        <v>295</v>
      </c>
      <c r="I49" s="4" t="s">
        <v>296</v>
      </c>
      <c r="J49" s="4" t="s">
        <v>305</v>
      </c>
      <c r="K49" s="4" t="s">
        <v>306</v>
      </c>
      <c r="L49" s="6" t="s">
        <v>307</v>
      </c>
    </row>
    <row r="50" spans="1:12" ht="72" customHeight="1">
      <c r="A50" s="4" t="s">
        <v>308</v>
      </c>
      <c r="B50" s="4" t="s">
        <v>292</v>
      </c>
      <c r="C50" s="4" t="s">
        <v>309</v>
      </c>
      <c r="D50" s="4" t="s">
        <v>42</v>
      </c>
      <c r="E50" s="4" t="s">
        <v>33</v>
      </c>
      <c r="F50" s="4" t="s">
        <v>33</v>
      </c>
      <c r="G50" s="4" t="s">
        <v>294</v>
      </c>
      <c r="H50" s="4" t="s">
        <v>295</v>
      </c>
      <c r="I50" s="4" t="s">
        <v>296</v>
      </c>
      <c r="J50" s="4" t="s">
        <v>310</v>
      </c>
      <c r="K50" s="4" t="s">
        <v>306</v>
      </c>
      <c r="L50" s="6" t="s">
        <v>311</v>
      </c>
    </row>
    <row r="51" spans="1:12" ht="72" customHeight="1">
      <c r="A51" s="4" t="s">
        <v>312</v>
      </c>
      <c r="B51" s="4" t="s">
        <v>292</v>
      </c>
      <c r="C51" s="4" t="s">
        <v>313</v>
      </c>
      <c r="D51" s="4" t="s">
        <v>42</v>
      </c>
      <c r="E51" s="4" t="s">
        <v>33</v>
      </c>
      <c r="F51" s="4" t="s">
        <v>33</v>
      </c>
      <c r="G51" s="4" t="s">
        <v>294</v>
      </c>
      <c r="H51" s="4" t="s">
        <v>295</v>
      </c>
      <c r="I51" s="4" t="s">
        <v>296</v>
      </c>
      <c r="J51" s="4" t="s">
        <v>314</v>
      </c>
      <c r="K51" s="4" t="s">
        <v>315</v>
      </c>
      <c r="L51" s="6" t="s">
        <v>95</v>
      </c>
    </row>
    <row r="52" spans="1:12" ht="72" customHeight="1">
      <c r="A52" s="4" t="s">
        <v>316</v>
      </c>
      <c r="B52" s="4" t="s">
        <v>292</v>
      </c>
      <c r="C52" s="4" t="s">
        <v>317</v>
      </c>
      <c r="D52" s="4" t="s">
        <v>42</v>
      </c>
      <c r="E52" s="4" t="s">
        <v>33</v>
      </c>
      <c r="F52" s="4" t="s">
        <v>33</v>
      </c>
      <c r="G52" s="4" t="s">
        <v>294</v>
      </c>
      <c r="H52" s="4" t="s">
        <v>295</v>
      </c>
      <c r="I52" s="4" t="s">
        <v>296</v>
      </c>
      <c r="J52" s="4" t="s">
        <v>318</v>
      </c>
      <c r="K52" s="4" t="s">
        <v>319</v>
      </c>
      <c r="L52" s="6" t="s">
        <v>88</v>
      </c>
    </row>
    <row r="53" spans="1:12" ht="72" customHeight="1">
      <c r="A53" s="4" t="s">
        <v>320</v>
      </c>
      <c r="B53" s="4" t="s">
        <v>292</v>
      </c>
      <c r="C53" s="4" t="s">
        <v>321</v>
      </c>
      <c r="D53" s="4" t="s">
        <v>42</v>
      </c>
      <c r="E53" s="4" t="s">
        <v>33</v>
      </c>
      <c r="F53" s="4" t="s">
        <v>33</v>
      </c>
      <c r="G53" s="4" t="s">
        <v>294</v>
      </c>
      <c r="H53" s="4" t="s">
        <v>295</v>
      </c>
      <c r="I53" s="4" t="s">
        <v>296</v>
      </c>
      <c r="J53" s="4" t="s">
        <v>322</v>
      </c>
      <c r="K53" s="4" t="s">
        <v>323</v>
      </c>
      <c r="L53" s="6" t="s">
        <v>116</v>
      </c>
    </row>
    <row r="54" spans="1:12" ht="72" customHeight="1">
      <c r="A54" s="4" t="s">
        <v>324</v>
      </c>
      <c r="B54" s="4" t="s">
        <v>325</v>
      </c>
      <c r="C54" s="4" t="s">
        <v>326</v>
      </c>
      <c r="D54" s="4" t="s">
        <v>42</v>
      </c>
      <c r="E54" s="4" t="s">
        <v>33</v>
      </c>
      <c r="F54" s="4" t="s">
        <v>33</v>
      </c>
      <c r="G54" s="4" t="s">
        <v>327</v>
      </c>
      <c r="H54" s="4" t="s">
        <v>328</v>
      </c>
      <c r="I54" s="4" t="s">
        <v>329</v>
      </c>
      <c r="J54" s="4" t="s">
        <v>330</v>
      </c>
      <c r="K54" s="4" t="s">
        <v>331</v>
      </c>
      <c r="L54" s="6" t="s">
        <v>147</v>
      </c>
    </row>
    <row r="55" spans="1:12" ht="72" customHeight="1">
      <c r="A55" s="4" t="s">
        <v>332</v>
      </c>
      <c r="B55" s="4" t="s">
        <v>325</v>
      </c>
      <c r="C55" s="4" t="s">
        <v>333</v>
      </c>
      <c r="D55" s="4" t="s">
        <v>42</v>
      </c>
      <c r="E55" s="4" t="s">
        <v>33</v>
      </c>
      <c r="F55" s="4" t="s">
        <v>33</v>
      </c>
      <c r="G55" s="4" t="s">
        <v>327</v>
      </c>
      <c r="H55" s="4" t="s">
        <v>328</v>
      </c>
      <c r="I55" s="4" t="s">
        <v>329</v>
      </c>
      <c r="J55" s="4" t="s">
        <v>334</v>
      </c>
      <c r="K55" s="4" t="s">
        <v>335</v>
      </c>
      <c r="L55" s="6" t="s">
        <v>88</v>
      </c>
    </row>
    <row r="56" spans="1:12" ht="72" customHeight="1">
      <c r="A56" s="4" t="s">
        <v>336</v>
      </c>
      <c r="B56" s="4" t="s">
        <v>325</v>
      </c>
      <c r="C56" s="4" t="s">
        <v>337</v>
      </c>
      <c r="D56" s="4" t="s">
        <v>42</v>
      </c>
      <c r="E56" s="4" t="s">
        <v>33</v>
      </c>
      <c r="F56" s="4" t="s">
        <v>33</v>
      </c>
      <c r="G56" s="4" t="s">
        <v>327</v>
      </c>
      <c r="H56" s="4" t="s">
        <v>328</v>
      </c>
      <c r="I56" s="4" t="s">
        <v>329</v>
      </c>
      <c r="J56" s="4" t="s">
        <v>338</v>
      </c>
      <c r="K56" s="4" t="s">
        <v>335</v>
      </c>
      <c r="L56" s="6" t="s">
        <v>81</v>
      </c>
    </row>
    <row r="57" spans="1:12" ht="72" customHeight="1">
      <c r="A57" s="4" t="s">
        <v>339</v>
      </c>
      <c r="B57" s="4" t="s">
        <v>325</v>
      </c>
      <c r="C57" s="4" t="s">
        <v>340</v>
      </c>
      <c r="D57" s="4" t="s">
        <v>42</v>
      </c>
      <c r="E57" s="4" t="s">
        <v>33</v>
      </c>
      <c r="F57" s="4" t="s">
        <v>33</v>
      </c>
      <c r="G57" s="4" t="s">
        <v>327</v>
      </c>
      <c r="H57" s="4" t="s">
        <v>328</v>
      </c>
      <c r="I57" s="4" t="s">
        <v>329</v>
      </c>
      <c r="J57" s="4" t="s">
        <v>341</v>
      </c>
      <c r="K57" s="4" t="s">
        <v>342</v>
      </c>
      <c r="L57" s="6" t="s">
        <v>103</v>
      </c>
    </row>
    <row r="58" spans="1:12" ht="72" customHeight="1">
      <c r="A58" s="4" t="s">
        <v>343</v>
      </c>
      <c r="B58" s="4" t="s">
        <v>325</v>
      </c>
      <c r="C58" s="4" t="s">
        <v>344</v>
      </c>
      <c r="D58" s="4" t="s">
        <v>42</v>
      </c>
      <c r="E58" s="4" t="s">
        <v>33</v>
      </c>
      <c r="F58" s="4" t="s">
        <v>33</v>
      </c>
      <c r="G58" s="4" t="s">
        <v>327</v>
      </c>
      <c r="H58" s="4" t="s">
        <v>328</v>
      </c>
      <c r="I58" s="4" t="s">
        <v>329</v>
      </c>
      <c r="J58" s="4" t="s">
        <v>345</v>
      </c>
      <c r="K58" s="4" t="s">
        <v>342</v>
      </c>
      <c r="L58" s="6" t="s">
        <v>88</v>
      </c>
    </row>
    <row r="59" spans="1:12" ht="72" customHeight="1">
      <c r="A59" s="4" t="s">
        <v>346</v>
      </c>
      <c r="B59" s="4" t="s">
        <v>347</v>
      </c>
      <c r="C59" s="4" t="s">
        <v>348</v>
      </c>
      <c r="D59" s="4" t="s">
        <v>42</v>
      </c>
      <c r="E59" s="4" t="s">
        <v>33</v>
      </c>
      <c r="F59" s="4" t="s">
        <v>33</v>
      </c>
      <c r="G59" s="4" t="s">
        <v>349</v>
      </c>
      <c r="H59" s="4" t="s">
        <v>350</v>
      </c>
      <c r="I59" s="4" t="s">
        <v>351</v>
      </c>
      <c r="J59" s="4" t="s">
        <v>352</v>
      </c>
      <c r="K59" s="4" t="s">
        <v>353</v>
      </c>
      <c r="L59" s="6" t="s">
        <v>165</v>
      </c>
    </row>
    <row r="60" spans="1:12" ht="72" customHeight="1">
      <c r="A60" s="4" t="s">
        <v>354</v>
      </c>
      <c r="B60" s="4" t="s">
        <v>347</v>
      </c>
      <c r="C60" s="4" t="s">
        <v>355</v>
      </c>
      <c r="D60" s="4" t="s">
        <v>42</v>
      </c>
      <c r="E60" s="4" t="s">
        <v>33</v>
      </c>
      <c r="F60" s="4" t="s">
        <v>33</v>
      </c>
      <c r="G60" s="4" t="s">
        <v>349</v>
      </c>
      <c r="H60" s="4" t="s">
        <v>350</v>
      </c>
      <c r="I60" s="4" t="s">
        <v>351</v>
      </c>
      <c r="J60" s="4" t="s">
        <v>356</v>
      </c>
      <c r="K60" s="4" t="s">
        <v>353</v>
      </c>
      <c r="L60" s="6" t="s">
        <v>103</v>
      </c>
    </row>
    <row r="61" spans="1:12" ht="72" customHeight="1">
      <c r="A61" s="4" t="s">
        <v>357</v>
      </c>
      <c r="B61" s="4" t="s">
        <v>347</v>
      </c>
      <c r="C61" s="4" t="s">
        <v>358</v>
      </c>
      <c r="D61" s="4" t="s">
        <v>42</v>
      </c>
      <c r="E61" s="4" t="s">
        <v>33</v>
      </c>
      <c r="F61" s="4" t="s">
        <v>33</v>
      </c>
      <c r="G61" s="4" t="s">
        <v>349</v>
      </c>
      <c r="H61" s="4" t="s">
        <v>350</v>
      </c>
      <c r="I61" s="4" t="s">
        <v>351</v>
      </c>
      <c r="J61" s="4" t="s">
        <v>359</v>
      </c>
      <c r="K61" s="4" t="s">
        <v>360</v>
      </c>
      <c r="L61" s="6" t="s">
        <v>81</v>
      </c>
    </row>
    <row r="62" spans="1:12" ht="72" customHeight="1">
      <c r="A62" s="4" t="s">
        <v>361</v>
      </c>
      <c r="B62" s="4" t="s">
        <v>362</v>
      </c>
      <c r="C62" s="4" t="s">
        <v>363</v>
      </c>
      <c r="D62" s="4" t="s">
        <v>42</v>
      </c>
      <c r="E62" s="4" t="s">
        <v>33</v>
      </c>
      <c r="F62" s="4" t="s">
        <v>33</v>
      </c>
      <c r="G62" s="4" t="s">
        <v>364</v>
      </c>
      <c r="H62" s="4" t="s">
        <v>365</v>
      </c>
      <c r="I62" s="4" t="s">
        <v>366</v>
      </c>
      <c r="J62" s="4" t="s">
        <v>367</v>
      </c>
      <c r="K62" s="4" t="s">
        <v>368</v>
      </c>
      <c r="L62" s="6" t="s">
        <v>39</v>
      </c>
    </row>
    <row r="63" spans="1:12" ht="72" customHeight="1">
      <c r="A63" s="4" t="s">
        <v>369</v>
      </c>
      <c r="B63" s="4" t="s">
        <v>362</v>
      </c>
      <c r="C63" s="4" t="s">
        <v>370</v>
      </c>
      <c r="D63" s="4" t="s">
        <v>42</v>
      </c>
      <c r="E63" s="4" t="s">
        <v>33</v>
      </c>
      <c r="F63" s="4" t="s">
        <v>33</v>
      </c>
      <c r="G63" s="4" t="s">
        <v>364</v>
      </c>
      <c r="H63" s="4" t="s">
        <v>365</v>
      </c>
      <c r="I63" s="4" t="s">
        <v>366</v>
      </c>
      <c r="J63" s="4" t="s">
        <v>371</v>
      </c>
      <c r="K63" s="4" t="s">
        <v>372</v>
      </c>
      <c r="L63" s="6" t="s">
        <v>141</v>
      </c>
    </row>
    <row r="64" spans="1:12" ht="72" customHeight="1">
      <c r="A64" s="4" t="s">
        <v>373</v>
      </c>
      <c r="B64" s="4" t="s">
        <v>362</v>
      </c>
      <c r="C64" s="4" t="s">
        <v>374</v>
      </c>
      <c r="D64" s="4" t="s">
        <v>42</v>
      </c>
      <c r="E64" s="4" t="s">
        <v>33</v>
      </c>
      <c r="F64" s="4" t="s">
        <v>33</v>
      </c>
      <c r="G64" s="4" t="s">
        <v>364</v>
      </c>
      <c r="H64" s="4" t="s">
        <v>365</v>
      </c>
      <c r="I64" s="4" t="s">
        <v>366</v>
      </c>
      <c r="J64" s="4" t="s">
        <v>375</v>
      </c>
      <c r="K64" s="4" t="s">
        <v>376</v>
      </c>
      <c r="L64" s="6" t="s">
        <v>147</v>
      </c>
    </row>
    <row r="65" spans="1:12" ht="72" customHeight="1">
      <c r="A65" s="4" t="s">
        <v>377</v>
      </c>
      <c r="B65" s="4" t="s">
        <v>362</v>
      </c>
      <c r="C65" s="4" t="s">
        <v>378</v>
      </c>
      <c r="D65" s="4" t="s">
        <v>42</v>
      </c>
      <c r="E65" s="4" t="s">
        <v>33</v>
      </c>
      <c r="F65" s="4" t="s">
        <v>33</v>
      </c>
      <c r="G65" s="4" t="s">
        <v>364</v>
      </c>
      <c r="H65" s="4" t="s">
        <v>365</v>
      </c>
      <c r="I65" s="4" t="s">
        <v>366</v>
      </c>
      <c r="J65" s="4" t="s">
        <v>379</v>
      </c>
      <c r="K65" s="4" t="s">
        <v>380</v>
      </c>
      <c r="L65" s="6" t="s">
        <v>95</v>
      </c>
    </row>
    <row r="66" spans="1:12" ht="72" customHeight="1">
      <c r="A66" s="4" t="s">
        <v>381</v>
      </c>
      <c r="B66" s="4" t="s">
        <v>362</v>
      </c>
      <c r="C66" s="4" t="s">
        <v>382</v>
      </c>
      <c r="D66" s="4" t="s">
        <v>42</v>
      </c>
      <c r="E66" s="4" t="s">
        <v>33</v>
      </c>
      <c r="F66" s="4" t="s">
        <v>33</v>
      </c>
      <c r="G66" s="4" t="s">
        <v>364</v>
      </c>
      <c r="H66" s="4" t="s">
        <v>365</v>
      </c>
      <c r="I66" s="4" t="s">
        <v>366</v>
      </c>
      <c r="J66" s="4" t="s">
        <v>383</v>
      </c>
      <c r="K66" s="4" t="s">
        <v>384</v>
      </c>
      <c r="L66" s="6" t="s">
        <v>165</v>
      </c>
    </row>
    <row r="67" spans="1:12" ht="72" customHeight="1">
      <c r="A67" s="4" t="s">
        <v>385</v>
      </c>
      <c r="B67" s="4" t="s">
        <v>362</v>
      </c>
      <c r="C67" s="4" t="s">
        <v>386</v>
      </c>
      <c r="D67" s="4" t="s">
        <v>42</v>
      </c>
      <c r="E67" s="4" t="s">
        <v>33</v>
      </c>
      <c r="F67" s="4" t="s">
        <v>33</v>
      </c>
      <c r="G67" s="4" t="s">
        <v>364</v>
      </c>
      <c r="H67" s="4" t="s">
        <v>365</v>
      </c>
      <c r="I67" s="4" t="s">
        <v>366</v>
      </c>
      <c r="J67" s="4" t="s">
        <v>387</v>
      </c>
      <c r="K67" s="4" t="s">
        <v>388</v>
      </c>
      <c r="L67" s="6" t="s">
        <v>141</v>
      </c>
    </row>
    <row r="68" spans="1:12" ht="72" customHeight="1">
      <c r="A68" s="4" t="s">
        <v>389</v>
      </c>
      <c r="B68" s="4" t="s">
        <v>362</v>
      </c>
      <c r="C68" s="4" t="s">
        <v>390</v>
      </c>
      <c r="D68" s="4" t="s">
        <v>42</v>
      </c>
      <c r="E68" s="4" t="s">
        <v>33</v>
      </c>
      <c r="F68" s="4" t="s">
        <v>33</v>
      </c>
      <c r="G68" s="4" t="s">
        <v>364</v>
      </c>
      <c r="H68" s="4" t="s">
        <v>365</v>
      </c>
      <c r="I68" s="4" t="s">
        <v>366</v>
      </c>
      <c r="J68" s="4" t="s">
        <v>391</v>
      </c>
      <c r="K68" s="4" t="s">
        <v>368</v>
      </c>
      <c r="L68" s="6" t="s">
        <v>147</v>
      </c>
    </row>
    <row r="69" spans="1:12" ht="72" customHeight="1">
      <c r="A69" s="4" t="s">
        <v>392</v>
      </c>
      <c r="B69" s="4" t="s">
        <v>362</v>
      </c>
      <c r="C69" s="4" t="s">
        <v>393</v>
      </c>
      <c r="D69" s="4" t="s">
        <v>42</v>
      </c>
      <c r="E69" s="4" t="s">
        <v>33</v>
      </c>
      <c r="F69" s="4" t="s">
        <v>33</v>
      </c>
      <c r="G69" s="4" t="s">
        <v>364</v>
      </c>
      <c r="H69" s="4" t="s">
        <v>365</v>
      </c>
      <c r="I69" s="4" t="s">
        <v>366</v>
      </c>
      <c r="J69" s="4" t="s">
        <v>394</v>
      </c>
      <c r="K69" s="4" t="s">
        <v>368</v>
      </c>
      <c r="L69" s="6" t="s">
        <v>95</v>
      </c>
    </row>
    <row r="70" spans="1:12" ht="72" customHeight="1">
      <c r="A70" s="4" t="s">
        <v>395</v>
      </c>
      <c r="B70" s="4" t="s">
        <v>362</v>
      </c>
      <c r="C70" s="4" t="s">
        <v>396</v>
      </c>
      <c r="D70" s="4" t="s">
        <v>42</v>
      </c>
      <c r="E70" s="4" t="s">
        <v>33</v>
      </c>
      <c r="F70" s="4" t="s">
        <v>33</v>
      </c>
      <c r="G70" s="4" t="s">
        <v>364</v>
      </c>
      <c r="H70" s="4" t="s">
        <v>365</v>
      </c>
      <c r="I70" s="4" t="s">
        <v>366</v>
      </c>
      <c r="J70" s="4" t="s">
        <v>397</v>
      </c>
      <c r="K70" s="4" t="s">
        <v>368</v>
      </c>
      <c r="L70" s="6" t="s">
        <v>95</v>
      </c>
    </row>
    <row r="71" spans="1:12" ht="72" customHeight="1">
      <c r="A71" s="4" t="s">
        <v>398</v>
      </c>
      <c r="B71" s="4" t="s">
        <v>362</v>
      </c>
      <c r="C71" s="4" t="s">
        <v>399</v>
      </c>
      <c r="D71" s="4" t="s">
        <v>42</v>
      </c>
      <c r="E71" s="4" t="s">
        <v>33</v>
      </c>
      <c r="F71" s="4" t="s">
        <v>33</v>
      </c>
      <c r="G71" s="4" t="s">
        <v>364</v>
      </c>
      <c r="H71" s="4" t="s">
        <v>365</v>
      </c>
      <c r="I71" s="4" t="s">
        <v>366</v>
      </c>
      <c r="J71" s="4" t="s">
        <v>400</v>
      </c>
      <c r="K71" s="4" t="s">
        <v>368</v>
      </c>
      <c r="L71" s="6" t="s">
        <v>88</v>
      </c>
    </row>
    <row r="72" spans="1:12" ht="72" customHeight="1">
      <c r="A72" s="4" t="s">
        <v>401</v>
      </c>
      <c r="B72" s="4" t="s">
        <v>362</v>
      </c>
      <c r="C72" s="4" t="s">
        <v>402</v>
      </c>
      <c r="D72" s="4" t="s">
        <v>42</v>
      </c>
      <c r="E72" s="4" t="s">
        <v>33</v>
      </c>
      <c r="F72" s="4" t="s">
        <v>33</v>
      </c>
      <c r="G72" s="4" t="s">
        <v>364</v>
      </c>
      <c r="H72" s="4" t="s">
        <v>365</v>
      </c>
      <c r="I72" s="4" t="s">
        <v>366</v>
      </c>
      <c r="J72" s="4" t="s">
        <v>403</v>
      </c>
      <c r="K72" s="4" t="s">
        <v>368</v>
      </c>
      <c r="L72" s="6" t="s">
        <v>165</v>
      </c>
    </row>
    <row r="73" spans="1:12" ht="72" customHeight="1">
      <c r="A73" s="4" t="s">
        <v>404</v>
      </c>
      <c r="B73" s="4" t="s">
        <v>362</v>
      </c>
      <c r="C73" s="4" t="s">
        <v>405</v>
      </c>
      <c r="D73" s="4" t="s">
        <v>42</v>
      </c>
      <c r="E73" s="4" t="s">
        <v>33</v>
      </c>
      <c r="F73" s="4" t="s">
        <v>33</v>
      </c>
      <c r="G73" s="4" t="s">
        <v>364</v>
      </c>
      <c r="H73" s="4" t="s">
        <v>365</v>
      </c>
      <c r="I73" s="4" t="s">
        <v>366</v>
      </c>
      <c r="J73" s="4" t="s">
        <v>406</v>
      </c>
      <c r="K73" s="4" t="s">
        <v>407</v>
      </c>
      <c r="L73" s="6" t="s">
        <v>408</v>
      </c>
    </row>
    <row r="74" spans="1:12" ht="72" customHeight="1">
      <c r="A74" s="4" t="s">
        <v>409</v>
      </c>
      <c r="B74" s="4" t="s">
        <v>362</v>
      </c>
      <c r="C74" s="4" t="s">
        <v>410</v>
      </c>
      <c r="D74" s="4" t="s">
        <v>42</v>
      </c>
      <c r="E74" s="4" t="s">
        <v>33</v>
      </c>
      <c r="F74" s="4" t="s">
        <v>33</v>
      </c>
      <c r="G74" s="4" t="s">
        <v>364</v>
      </c>
      <c r="H74" s="4" t="s">
        <v>365</v>
      </c>
      <c r="I74" s="4" t="s">
        <v>366</v>
      </c>
      <c r="J74" s="4" t="s">
        <v>411</v>
      </c>
      <c r="K74" s="4" t="s">
        <v>368</v>
      </c>
      <c r="L74" s="6" t="s">
        <v>88</v>
      </c>
    </row>
    <row r="75" spans="1:12" ht="72" customHeight="1">
      <c r="A75" s="4" t="s">
        <v>412</v>
      </c>
      <c r="B75" s="4" t="s">
        <v>362</v>
      </c>
      <c r="C75" s="4" t="s">
        <v>413</v>
      </c>
      <c r="D75" s="4" t="s">
        <v>42</v>
      </c>
      <c r="E75" s="4" t="s">
        <v>33</v>
      </c>
      <c r="F75" s="4" t="s">
        <v>33</v>
      </c>
      <c r="G75" s="4" t="s">
        <v>364</v>
      </c>
      <c r="H75" s="4" t="s">
        <v>365</v>
      </c>
      <c r="I75" s="4" t="s">
        <v>366</v>
      </c>
      <c r="J75" s="4" t="s">
        <v>414</v>
      </c>
      <c r="K75" s="4" t="s">
        <v>368</v>
      </c>
      <c r="L75" s="6" t="s">
        <v>153</v>
      </c>
    </row>
    <row r="76" spans="1:12" ht="72" customHeight="1">
      <c r="A76" s="4" t="s">
        <v>415</v>
      </c>
      <c r="B76" s="4" t="s">
        <v>362</v>
      </c>
      <c r="C76" s="4" t="s">
        <v>416</v>
      </c>
      <c r="D76" s="4" t="s">
        <v>42</v>
      </c>
      <c r="E76" s="4" t="s">
        <v>33</v>
      </c>
      <c r="F76" s="4" t="s">
        <v>33</v>
      </c>
      <c r="G76" s="4" t="s">
        <v>364</v>
      </c>
      <c r="H76" s="4" t="s">
        <v>365</v>
      </c>
      <c r="I76" s="4" t="s">
        <v>366</v>
      </c>
      <c r="J76" s="4" t="s">
        <v>417</v>
      </c>
      <c r="K76" s="4" t="s">
        <v>368</v>
      </c>
      <c r="L76" s="6" t="s">
        <v>183</v>
      </c>
    </row>
    <row r="77" spans="1:12" ht="72" customHeight="1">
      <c r="A77" s="4" t="s">
        <v>418</v>
      </c>
      <c r="B77" s="4" t="s">
        <v>362</v>
      </c>
      <c r="C77" s="4" t="s">
        <v>419</v>
      </c>
      <c r="D77" s="4" t="s">
        <v>42</v>
      </c>
      <c r="E77" s="4" t="s">
        <v>33</v>
      </c>
      <c r="F77" s="4" t="s">
        <v>33</v>
      </c>
      <c r="G77" s="4" t="s">
        <v>364</v>
      </c>
      <c r="H77" s="4" t="s">
        <v>365</v>
      </c>
      <c r="I77" s="4" t="s">
        <v>366</v>
      </c>
      <c r="J77" s="4" t="s">
        <v>420</v>
      </c>
      <c r="K77" s="4" t="s">
        <v>368</v>
      </c>
      <c r="L77" s="6" t="s">
        <v>159</v>
      </c>
    </row>
    <row r="78" spans="1:12" ht="72" customHeight="1">
      <c r="A78" s="4" t="s">
        <v>421</v>
      </c>
      <c r="B78" s="4" t="s">
        <v>422</v>
      </c>
      <c r="C78" s="4" t="s">
        <v>423</v>
      </c>
      <c r="D78" s="4" t="s">
        <v>42</v>
      </c>
      <c r="E78" s="4" t="s">
        <v>33</v>
      </c>
      <c r="F78" s="4" t="s">
        <v>33</v>
      </c>
      <c r="G78" s="4" t="s">
        <v>424</v>
      </c>
      <c r="H78" s="4" t="s">
        <v>424</v>
      </c>
      <c r="I78" s="4" t="s">
        <v>425</v>
      </c>
      <c r="J78" s="4" t="s">
        <v>426</v>
      </c>
      <c r="K78" s="4" t="s">
        <v>427</v>
      </c>
      <c r="L78" s="6" t="s">
        <v>39</v>
      </c>
    </row>
    <row r="79" spans="1:12" ht="72" customHeight="1">
      <c r="A79" s="4" t="s">
        <v>428</v>
      </c>
      <c r="B79" s="4" t="s">
        <v>422</v>
      </c>
      <c r="C79" s="4" t="s">
        <v>429</v>
      </c>
      <c r="D79" s="4" t="s">
        <v>42</v>
      </c>
      <c r="E79" s="4" t="s">
        <v>33</v>
      </c>
      <c r="F79" s="4" t="s">
        <v>33</v>
      </c>
      <c r="G79" s="4" t="s">
        <v>424</v>
      </c>
      <c r="H79" s="4" t="s">
        <v>424</v>
      </c>
      <c r="I79" s="4" t="s">
        <v>425</v>
      </c>
      <c r="J79" s="4" t="s">
        <v>430</v>
      </c>
      <c r="K79" s="4" t="s">
        <v>427</v>
      </c>
      <c r="L79" s="6" t="s">
        <v>159</v>
      </c>
    </row>
    <row r="80" spans="1:12" ht="72" customHeight="1">
      <c r="A80" s="4" t="s">
        <v>431</v>
      </c>
      <c r="B80" s="4" t="s">
        <v>422</v>
      </c>
      <c r="C80" s="4" t="s">
        <v>432</v>
      </c>
      <c r="D80" s="4" t="s">
        <v>42</v>
      </c>
      <c r="E80" s="4" t="s">
        <v>33</v>
      </c>
      <c r="F80" s="4" t="s">
        <v>33</v>
      </c>
      <c r="G80" s="4" t="s">
        <v>424</v>
      </c>
      <c r="H80" s="4" t="s">
        <v>424</v>
      </c>
      <c r="I80" s="4" t="s">
        <v>425</v>
      </c>
      <c r="J80" s="4" t="s">
        <v>433</v>
      </c>
      <c r="K80" s="4" t="s">
        <v>434</v>
      </c>
      <c r="L80" s="6" t="s">
        <v>141</v>
      </c>
    </row>
    <row r="81" spans="1:12" ht="72" customHeight="1">
      <c r="A81" s="4" t="s">
        <v>435</v>
      </c>
      <c r="B81" s="4" t="s">
        <v>422</v>
      </c>
      <c r="C81" s="4" t="s">
        <v>436</v>
      </c>
      <c r="D81" s="4" t="s">
        <v>42</v>
      </c>
      <c r="E81" s="4" t="s">
        <v>33</v>
      </c>
      <c r="F81" s="4" t="s">
        <v>33</v>
      </c>
      <c r="G81" s="4" t="s">
        <v>424</v>
      </c>
      <c r="H81" s="4" t="s">
        <v>424</v>
      </c>
      <c r="I81" s="4" t="s">
        <v>425</v>
      </c>
      <c r="J81" s="4" t="s">
        <v>437</v>
      </c>
      <c r="K81" s="4" t="s">
        <v>434</v>
      </c>
      <c r="L81" s="6" t="s">
        <v>95</v>
      </c>
    </row>
    <row r="82" spans="1:12" ht="72" customHeight="1">
      <c r="A82" s="4" t="s">
        <v>438</v>
      </c>
      <c r="B82" s="4" t="s">
        <v>422</v>
      </c>
      <c r="C82" s="4" t="s">
        <v>439</v>
      </c>
      <c r="D82" s="4" t="s">
        <v>42</v>
      </c>
      <c r="E82" s="4" t="s">
        <v>33</v>
      </c>
      <c r="F82" s="4" t="s">
        <v>33</v>
      </c>
      <c r="G82" s="4" t="s">
        <v>424</v>
      </c>
      <c r="H82" s="4" t="s">
        <v>424</v>
      </c>
      <c r="I82" s="4" t="s">
        <v>425</v>
      </c>
      <c r="J82" s="4" t="s">
        <v>440</v>
      </c>
      <c r="K82" s="4" t="s">
        <v>434</v>
      </c>
      <c r="L82" s="6" t="s">
        <v>88</v>
      </c>
    </row>
    <row r="83" spans="1:12" ht="72" customHeight="1">
      <c r="A83" s="4" t="s">
        <v>441</v>
      </c>
      <c r="B83" s="4" t="s">
        <v>422</v>
      </c>
      <c r="C83" s="4" t="s">
        <v>442</v>
      </c>
      <c r="D83" s="4" t="s">
        <v>42</v>
      </c>
      <c r="E83" s="4" t="s">
        <v>33</v>
      </c>
      <c r="F83" s="4" t="s">
        <v>33</v>
      </c>
      <c r="G83" s="4" t="s">
        <v>424</v>
      </c>
      <c r="H83" s="4" t="s">
        <v>424</v>
      </c>
      <c r="I83" s="4" t="s">
        <v>425</v>
      </c>
      <c r="J83" s="4" t="s">
        <v>443</v>
      </c>
      <c r="K83" s="4" t="s">
        <v>427</v>
      </c>
      <c r="L83" s="6" t="s">
        <v>153</v>
      </c>
    </row>
    <row r="84" spans="1:12" ht="72" customHeight="1">
      <c r="A84" s="4" t="s">
        <v>444</v>
      </c>
      <c r="B84" s="4" t="s">
        <v>445</v>
      </c>
      <c r="C84" s="4" t="s">
        <v>446</v>
      </c>
      <c r="D84" s="4" t="s">
        <v>42</v>
      </c>
      <c r="E84" s="4" t="s">
        <v>33</v>
      </c>
      <c r="F84" s="4" t="s">
        <v>33</v>
      </c>
      <c r="G84" s="4" t="s">
        <v>447</v>
      </c>
      <c r="H84" s="4" t="s">
        <v>447</v>
      </c>
      <c r="I84" s="4" t="s">
        <v>448</v>
      </c>
      <c r="J84" s="4" t="s">
        <v>449</v>
      </c>
      <c r="K84" s="4" t="s">
        <v>450</v>
      </c>
      <c r="L84" s="6" t="s">
        <v>39</v>
      </c>
    </row>
    <row r="85" spans="1:12" ht="72" customHeight="1">
      <c r="A85" s="4" t="s">
        <v>451</v>
      </c>
      <c r="B85" s="4" t="s">
        <v>445</v>
      </c>
      <c r="C85" s="4" t="s">
        <v>452</v>
      </c>
      <c r="D85" s="4" t="s">
        <v>42</v>
      </c>
      <c r="E85" s="4" t="s">
        <v>33</v>
      </c>
      <c r="F85" s="4" t="s">
        <v>33</v>
      </c>
      <c r="G85" s="4" t="s">
        <v>447</v>
      </c>
      <c r="H85" s="4" t="s">
        <v>447</v>
      </c>
      <c r="I85" s="4" t="s">
        <v>448</v>
      </c>
      <c r="J85" s="4" t="s">
        <v>453</v>
      </c>
      <c r="K85" s="4" t="s">
        <v>450</v>
      </c>
      <c r="L85" s="6" t="s">
        <v>165</v>
      </c>
    </row>
    <row r="86" spans="1:12" ht="72" customHeight="1">
      <c r="A86" s="4" t="s">
        <v>454</v>
      </c>
      <c r="B86" s="4" t="s">
        <v>445</v>
      </c>
      <c r="C86" s="4" t="s">
        <v>455</v>
      </c>
      <c r="D86" s="4" t="s">
        <v>42</v>
      </c>
      <c r="E86" s="4" t="s">
        <v>33</v>
      </c>
      <c r="F86" s="4" t="s">
        <v>33</v>
      </c>
      <c r="G86" s="4" t="s">
        <v>447</v>
      </c>
      <c r="H86" s="4" t="s">
        <v>447</v>
      </c>
      <c r="I86" s="4" t="s">
        <v>448</v>
      </c>
      <c r="J86" s="4" t="s">
        <v>456</v>
      </c>
      <c r="K86" s="4" t="s">
        <v>450</v>
      </c>
      <c r="L86" s="6" t="s">
        <v>159</v>
      </c>
    </row>
    <row r="87" spans="1:12" ht="72" customHeight="1">
      <c r="A87" s="4" t="s">
        <v>457</v>
      </c>
      <c r="B87" s="4" t="s">
        <v>445</v>
      </c>
      <c r="C87" s="4" t="s">
        <v>458</v>
      </c>
      <c r="D87" s="4" t="s">
        <v>42</v>
      </c>
      <c r="E87" s="4" t="s">
        <v>33</v>
      </c>
      <c r="F87" s="4" t="s">
        <v>33</v>
      </c>
      <c r="G87" s="4" t="s">
        <v>447</v>
      </c>
      <c r="H87" s="4" t="s">
        <v>447</v>
      </c>
      <c r="I87" s="4" t="s">
        <v>448</v>
      </c>
      <c r="J87" s="4" t="s">
        <v>459</v>
      </c>
      <c r="K87" s="4" t="s">
        <v>460</v>
      </c>
      <c r="L87" s="6" t="s">
        <v>95</v>
      </c>
    </row>
    <row r="88" spans="1:12" ht="72" customHeight="1">
      <c r="A88" s="4" t="s">
        <v>461</v>
      </c>
      <c r="B88" s="4" t="s">
        <v>445</v>
      </c>
      <c r="C88" s="4" t="s">
        <v>462</v>
      </c>
      <c r="D88" s="4" t="s">
        <v>42</v>
      </c>
      <c r="E88" s="4" t="s">
        <v>33</v>
      </c>
      <c r="F88" s="4" t="s">
        <v>33</v>
      </c>
      <c r="G88" s="4" t="s">
        <v>447</v>
      </c>
      <c r="H88" s="4" t="s">
        <v>447</v>
      </c>
      <c r="I88" s="4" t="s">
        <v>448</v>
      </c>
      <c r="J88" s="4" t="s">
        <v>463</v>
      </c>
      <c r="K88" s="4" t="s">
        <v>460</v>
      </c>
      <c r="L88" s="6" t="s">
        <v>153</v>
      </c>
    </row>
    <row r="89" spans="1:12" ht="72" customHeight="1">
      <c r="A89" s="4" t="s">
        <v>464</v>
      </c>
      <c r="B89" s="4" t="s">
        <v>445</v>
      </c>
      <c r="C89" s="4" t="s">
        <v>465</v>
      </c>
      <c r="D89" s="4" t="s">
        <v>42</v>
      </c>
      <c r="E89" s="4" t="s">
        <v>33</v>
      </c>
      <c r="F89" s="4" t="s">
        <v>33</v>
      </c>
      <c r="G89" s="4" t="s">
        <v>447</v>
      </c>
      <c r="H89" s="4" t="s">
        <v>447</v>
      </c>
      <c r="I89" s="4" t="s">
        <v>448</v>
      </c>
      <c r="J89" s="4" t="s">
        <v>466</v>
      </c>
      <c r="K89" s="4" t="s">
        <v>460</v>
      </c>
      <c r="L89" s="6" t="s">
        <v>153</v>
      </c>
    </row>
    <row r="90" spans="1:12" ht="72" customHeight="1">
      <c r="A90" s="4" t="s">
        <v>467</v>
      </c>
      <c r="B90" s="4" t="s">
        <v>445</v>
      </c>
      <c r="C90" s="4" t="s">
        <v>468</v>
      </c>
      <c r="D90" s="4" t="s">
        <v>42</v>
      </c>
      <c r="E90" s="4" t="s">
        <v>33</v>
      </c>
      <c r="F90" s="4" t="s">
        <v>33</v>
      </c>
      <c r="G90" s="4" t="s">
        <v>447</v>
      </c>
      <c r="H90" s="4" t="s">
        <v>447</v>
      </c>
      <c r="I90" s="4" t="s">
        <v>448</v>
      </c>
      <c r="J90" s="4" t="s">
        <v>469</v>
      </c>
      <c r="K90" s="4" t="s">
        <v>460</v>
      </c>
      <c r="L90" s="6" t="s">
        <v>88</v>
      </c>
    </row>
    <row r="91" spans="1:12" ht="72" customHeight="1">
      <c r="A91" s="4" t="s">
        <v>470</v>
      </c>
      <c r="B91" s="4" t="s">
        <v>445</v>
      </c>
      <c r="C91" s="4" t="s">
        <v>471</v>
      </c>
      <c r="D91" s="4" t="s">
        <v>42</v>
      </c>
      <c r="E91" s="4" t="s">
        <v>33</v>
      </c>
      <c r="F91" s="4" t="s">
        <v>33</v>
      </c>
      <c r="G91" s="4" t="s">
        <v>447</v>
      </c>
      <c r="H91" s="4" t="s">
        <v>447</v>
      </c>
      <c r="I91" s="4" t="s">
        <v>448</v>
      </c>
      <c r="J91" s="4" t="s">
        <v>472</v>
      </c>
      <c r="K91" s="4" t="s">
        <v>460</v>
      </c>
      <c r="L91" s="6" t="s">
        <v>153</v>
      </c>
    </row>
    <row r="92" spans="1:12" ht="72" customHeight="1">
      <c r="A92" s="4" t="s">
        <v>473</v>
      </c>
      <c r="B92" s="4" t="s">
        <v>445</v>
      </c>
      <c r="C92" s="4" t="s">
        <v>474</v>
      </c>
      <c r="D92" s="4" t="s">
        <v>42</v>
      </c>
      <c r="E92" s="4" t="s">
        <v>33</v>
      </c>
      <c r="F92" s="4" t="s">
        <v>33</v>
      </c>
      <c r="G92" s="4" t="s">
        <v>447</v>
      </c>
      <c r="H92" s="4" t="s">
        <v>447</v>
      </c>
      <c r="I92" s="4" t="s">
        <v>448</v>
      </c>
      <c r="J92" s="4" t="s">
        <v>475</v>
      </c>
      <c r="K92" s="4" t="s">
        <v>460</v>
      </c>
      <c r="L92" s="6" t="s">
        <v>88</v>
      </c>
    </row>
    <row r="93" spans="1:12" ht="72" customHeight="1">
      <c r="A93" s="4" t="s">
        <v>476</v>
      </c>
      <c r="B93" s="4" t="s">
        <v>477</v>
      </c>
      <c r="C93" s="4" t="s">
        <v>478</v>
      </c>
      <c r="D93" s="4" t="s">
        <v>42</v>
      </c>
      <c r="E93" s="4" t="s">
        <v>33</v>
      </c>
      <c r="F93" s="4" t="s">
        <v>33</v>
      </c>
      <c r="G93" s="4" t="s">
        <v>447</v>
      </c>
      <c r="H93" s="4" t="s">
        <v>447</v>
      </c>
      <c r="I93" s="4" t="s">
        <v>479</v>
      </c>
      <c r="J93" s="4" t="s">
        <v>480</v>
      </c>
      <c r="K93" s="4" t="s">
        <v>481</v>
      </c>
      <c r="L93" s="6" t="s">
        <v>39</v>
      </c>
    </row>
    <row r="94" spans="1:12" ht="72" customHeight="1">
      <c r="A94" s="4" t="s">
        <v>482</v>
      </c>
      <c r="B94" s="4" t="s">
        <v>477</v>
      </c>
      <c r="C94" s="4" t="s">
        <v>483</v>
      </c>
      <c r="D94" s="4" t="s">
        <v>42</v>
      </c>
      <c r="E94" s="4" t="s">
        <v>33</v>
      </c>
      <c r="F94" s="4" t="s">
        <v>33</v>
      </c>
      <c r="G94" s="4" t="s">
        <v>447</v>
      </c>
      <c r="H94" s="4" t="s">
        <v>447</v>
      </c>
      <c r="I94" s="4" t="s">
        <v>479</v>
      </c>
      <c r="J94" s="4" t="s">
        <v>484</v>
      </c>
      <c r="K94" s="4" t="s">
        <v>481</v>
      </c>
      <c r="L94" s="6" t="s">
        <v>95</v>
      </c>
    </row>
    <row r="95" spans="1:12" ht="72" customHeight="1">
      <c r="A95" s="4" t="s">
        <v>485</v>
      </c>
      <c r="B95" s="4" t="s">
        <v>477</v>
      </c>
      <c r="C95" s="4" t="s">
        <v>486</v>
      </c>
      <c r="D95" s="4" t="s">
        <v>42</v>
      </c>
      <c r="E95" s="4" t="s">
        <v>33</v>
      </c>
      <c r="F95" s="4" t="s">
        <v>33</v>
      </c>
      <c r="G95" s="4" t="s">
        <v>447</v>
      </c>
      <c r="H95" s="4" t="s">
        <v>447</v>
      </c>
      <c r="I95" s="4" t="s">
        <v>479</v>
      </c>
      <c r="J95" s="4" t="s">
        <v>487</v>
      </c>
      <c r="K95" s="4" t="s">
        <v>488</v>
      </c>
      <c r="L95" s="6" t="s">
        <v>88</v>
      </c>
    </row>
    <row r="96" spans="1:12" ht="72" customHeight="1">
      <c r="A96" s="4" t="s">
        <v>489</v>
      </c>
      <c r="B96" s="4" t="s">
        <v>490</v>
      </c>
      <c r="C96" s="4" t="s">
        <v>374</v>
      </c>
      <c r="D96" s="4" t="s">
        <v>42</v>
      </c>
      <c r="E96" s="4" t="s">
        <v>33</v>
      </c>
      <c r="F96" s="4" t="s">
        <v>33</v>
      </c>
      <c r="G96" s="4" t="s">
        <v>491</v>
      </c>
      <c r="H96" s="4" t="s">
        <v>491</v>
      </c>
      <c r="I96" s="4" t="s">
        <v>492</v>
      </c>
      <c r="J96" s="4" t="s">
        <v>493</v>
      </c>
      <c r="K96" s="4" t="s">
        <v>494</v>
      </c>
      <c r="L96" s="6" t="s">
        <v>147</v>
      </c>
    </row>
    <row r="97" spans="1:12" ht="72" customHeight="1">
      <c r="A97" s="4" t="s">
        <v>495</v>
      </c>
      <c r="B97" s="4" t="s">
        <v>490</v>
      </c>
      <c r="C97" s="4" t="s">
        <v>496</v>
      </c>
      <c r="D97" s="4" t="s">
        <v>42</v>
      </c>
      <c r="E97" s="4" t="s">
        <v>33</v>
      </c>
      <c r="F97" s="4" t="s">
        <v>33</v>
      </c>
      <c r="G97" s="4" t="s">
        <v>491</v>
      </c>
      <c r="H97" s="4" t="s">
        <v>491</v>
      </c>
      <c r="I97" s="4" t="s">
        <v>492</v>
      </c>
      <c r="J97" s="4" t="s">
        <v>497</v>
      </c>
      <c r="K97" s="4" t="s">
        <v>498</v>
      </c>
      <c r="L97" s="6" t="s">
        <v>165</v>
      </c>
    </row>
    <row r="98" spans="1:12" ht="72" customHeight="1">
      <c r="A98" s="4" t="s">
        <v>499</v>
      </c>
      <c r="B98" s="4" t="s">
        <v>490</v>
      </c>
      <c r="C98" s="4" t="s">
        <v>500</v>
      </c>
      <c r="D98" s="4" t="s">
        <v>42</v>
      </c>
      <c r="E98" s="4" t="s">
        <v>33</v>
      </c>
      <c r="F98" s="4" t="s">
        <v>33</v>
      </c>
      <c r="G98" s="4" t="s">
        <v>491</v>
      </c>
      <c r="H98" s="4" t="s">
        <v>491</v>
      </c>
      <c r="I98" s="4" t="s">
        <v>492</v>
      </c>
      <c r="J98" s="4" t="s">
        <v>501</v>
      </c>
      <c r="K98" s="4" t="s">
        <v>502</v>
      </c>
      <c r="L98" s="6" t="s">
        <v>81</v>
      </c>
    </row>
    <row r="99" spans="1:12" ht="72" customHeight="1">
      <c r="A99" s="4" t="s">
        <v>503</v>
      </c>
      <c r="B99" s="4" t="s">
        <v>490</v>
      </c>
      <c r="C99" s="4" t="s">
        <v>504</v>
      </c>
      <c r="D99" s="4" t="s">
        <v>42</v>
      </c>
      <c r="E99" s="4" t="s">
        <v>33</v>
      </c>
      <c r="F99" s="4" t="s">
        <v>33</v>
      </c>
      <c r="G99" s="4" t="s">
        <v>491</v>
      </c>
      <c r="H99" s="4" t="s">
        <v>491</v>
      </c>
      <c r="I99" s="4" t="s">
        <v>492</v>
      </c>
      <c r="J99" s="4" t="s">
        <v>505</v>
      </c>
      <c r="K99" s="4" t="s">
        <v>506</v>
      </c>
      <c r="L99" s="6" t="s">
        <v>116</v>
      </c>
    </row>
    <row r="100" spans="1:12" ht="72" customHeight="1">
      <c r="A100" s="4" t="s">
        <v>507</v>
      </c>
      <c r="B100" s="4" t="s">
        <v>508</v>
      </c>
      <c r="C100" s="4" t="s">
        <v>509</v>
      </c>
      <c r="D100" s="4" t="s">
        <v>42</v>
      </c>
      <c r="E100" s="4" t="s">
        <v>33</v>
      </c>
      <c r="F100" s="4" t="s">
        <v>33</v>
      </c>
      <c r="G100" s="4" t="s">
        <v>510</v>
      </c>
      <c r="H100" s="4" t="s">
        <v>510</v>
      </c>
      <c r="I100" s="4" t="s">
        <v>511</v>
      </c>
      <c r="J100" s="4" t="s">
        <v>512</v>
      </c>
      <c r="K100" s="4" t="s">
        <v>513</v>
      </c>
      <c r="L100" s="6" t="s">
        <v>159</v>
      </c>
    </row>
    <row r="101" spans="1:12" ht="72" customHeight="1">
      <c r="A101" s="4" t="s">
        <v>514</v>
      </c>
      <c r="B101" s="4" t="s">
        <v>508</v>
      </c>
      <c r="C101" s="4" t="s">
        <v>515</v>
      </c>
      <c r="D101" s="4" t="s">
        <v>42</v>
      </c>
      <c r="E101" s="4" t="s">
        <v>33</v>
      </c>
      <c r="F101" s="4" t="s">
        <v>33</v>
      </c>
      <c r="G101" s="4" t="s">
        <v>510</v>
      </c>
      <c r="H101" s="4" t="s">
        <v>510</v>
      </c>
      <c r="I101" s="4" t="s">
        <v>511</v>
      </c>
      <c r="J101" s="4" t="s">
        <v>516</v>
      </c>
      <c r="K101" s="4" t="s">
        <v>517</v>
      </c>
      <c r="L101" s="6" t="s">
        <v>518</v>
      </c>
    </row>
    <row r="102" spans="1:12" ht="72" customHeight="1">
      <c r="A102" s="4" t="s">
        <v>519</v>
      </c>
      <c r="B102" s="4" t="s">
        <v>508</v>
      </c>
      <c r="C102" s="4" t="s">
        <v>520</v>
      </c>
      <c r="D102" s="4" t="s">
        <v>42</v>
      </c>
      <c r="E102" s="4" t="s">
        <v>33</v>
      </c>
      <c r="F102" s="4" t="s">
        <v>33</v>
      </c>
      <c r="G102" s="4" t="s">
        <v>510</v>
      </c>
      <c r="H102" s="4" t="s">
        <v>510</v>
      </c>
      <c r="I102" s="4" t="s">
        <v>511</v>
      </c>
      <c r="J102" s="4" t="s">
        <v>521</v>
      </c>
      <c r="K102" s="4" t="s">
        <v>513</v>
      </c>
      <c r="L102" s="6" t="s">
        <v>165</v>
      </c>
    </row>
    <row r="103" spans="1:12" ht="72" customHeight="1">
      <c r="A103" s="4" t="s">
        <v>522</v>
      </c>
      <c r="B103" s="4" t="s">
        <v>508</v>
      </c>
      <c r="C103" s="4" t="s">
        <v>523</v>
      </c>
      <c r="D103" s="4" t="s">
        <v>42</v>
      </c>
      <c r="E103" s="4" t="s">
        <v>33</v>
      </c>
      <c r="F103" s="4" t="s">
        <v>33</v>
      </c>
      <c r="G103" s="4" t="s">
        <v>510</v>
      </c>
      <c r="H103" s="4" t="s">
        <v>510</v>
      </c>
      <c r="I103" s="4" t="s">
        <v>511</v>
      </c>
      <c r="J103" s="4" t="s">
        <v>524</v>
      </c>
      <c r="K103" s="4" t="s">
        <v>513</v>
      </c>
      <c r="L103" s="6" t="s">
        <v>518</v>
      </c>
    </row>
    <row r="104" spans="1:12" ht="72" customHeight="1">
      <c r="A104" s="4" t="s">
        <v>525</v>
      </c>
      <c r="B104" s="4" t="s">
        <v>508</v>
      </c>
      <c r="C104" s="4" t="s">
        <v>526</v>
      </c>
      <c r="D104" s="4" t="s">
        <v>42</v>
      </c>
      <c r="E104" s="4" t="s">
        <v>33</v>
      </c>
      <c r="F104" s="4" t="s">
        <v>33</v>
      </c>
      <c r="G104" s="4" t="s">
        <v>510</v>
      </c>
      <c r="H104" s="4" t="s">
        <v>510</v>
      </c>
      <c r="I104" s="4" t="s">
        <v>511</v>
      </c>
      <c r="J104" s="4" t="s">
        <v>527</v>
      </c>
      <c r="K104" s="4" t="s">
        <v>513</v>
      </c>
      <c r="L104" s="6" t="s">
        <v>518</v>
      </c>
    </row>
    <row r="105" spans="1:12" ht="72" customHeight="1">
      <c r="A105" s="4" t="s">
        <v>528</v>
      </c>
      <c r="B105" s="4" t="s">
        <v>508</v>
      </c>
      <c r="C105" s="4" t="s">
        <v>529</v>
      </c>
      <c r="D105" s="4" t="s">
        <v>42</v>
      </c>
      <c r="E105" s="4" t="s">
        <v>33</v>
      </c>
      <c r="F105" s="4" t="s">
        <v>33</v>
      </c>
      <c r="G105" s="4" t="s">
        <v>510</v>
      </c>
      <c r="H105" s="4" t="s">
        <v>510</v>
      </c>
      <c r="I105" s="4" t="s">
        <v>511</v>
      </c>
      <c r="J105" s="4" t="s">
        <v>530</v>
      </c>
      <c r="K105" s="4" t="s">
        <v>513</v>
      </c>
      <c r="L105" s="6" t="s">
        <v>153</v>
      </c>
    </row>
    <row r="106" spans="1:12" ht="72" customHeight="1">
      <c r="A106" s="4" t="s">
        <v>531</v>
      </c>
      <c r="B106" s="4" t="s">
        <v>508</v>
      </c>
      <c r="C106" s="4" t="s">
        <v>532</v>
      </c>
      <c r="D106" s="4" t="s">
        <v>42</v>
      </c>
      <c r="E106" s="4" t="s">
        <v>33</v>
      </c>
      <c r="F106" s="4" t="s">
        <v>33</v>
      </c>
      <c r="G106" s="4" t="s">
        <v>510</v>
      </c>
      <c r="H106" s="4" t="s">
        <v>510</v>
      </c>
      <c r="I106" s="4" t="s">
        <v>511</v>
      </c>
      <c r="J106" s="4" t="s">
        <v>533</v>
      </c>
      <c r="K106" s="4" t="s">
        <v>513</v>
      </c>
      <c r="L106" s="6" t="s">
        <v>165</v>
      </c>
    </row>
    <row r="107" spans="1:12" ht="72" customHeight="1">
      <c r="A107" s="4" t="s">
        <v>534</v>
      </c>
      <c r="B107" s="4" t="s">
        <v>508</v>
      </c>
      <c r="C107" s="4" t="s">
        <v>535</v>
      </c>
      <c r="D107" s="4" t="s">
        <v>42</v>
      </c>
      <c r="E107" s="4" t="s">
        <v>33</v>
      </c>
      <c r="F107" s="4" t="s">
        <v>33</v>
      </c>
      <c r="G107" s="4" t="s">
        <v>510</v>
      </c>
      <c r="H107" s="4" t="s">
        <v>510</v>
      </c>
      <c r="I107" s="4" t="s">
        <v>511</v>
      </c>
      <c r="J107" s="4" t="s">
        <v>536</v>
      </c>
      <c r="K107" s="4" t="s">
        <v>513</v>
      </c>
      <c r="L107" s="6" t="s">
        <v>103</v>
      </c>
    </row>
    <row r="108" spans="1:12" ht="72" customHeight="1">
      <c r="A108" s="4" t="s">
        <v>537</v>
      </c>
      <c r="B108" s="4" t="s">
        <v>508</v>
      </c>
      <c r="C108" s="4" t="s">
        <v>538</v>
      </c>
      <c r="D108" s="4" t="s">
        <v>42</v>
      </c>
      <c r="E108" s="4" t="s">
        <v>33</v>
      </c>
      <c r="F108" s="4" t="s">
        <v>33</v>
      </c>
      <c r="G108" s="4" t="s">
        <v>510</v>
      </c>
      <c r="H108" s="4" t="s">
        <v>510</v>
      </c>
      <c r="I108" s="4" t="s">
        <v>511</v>
      </c>
      <c r="J108" s="4" t="s">
        <v>539</v>
      </c>
      <c r="K108" s="4" t="s">
        <v>513</v>
      </c>
      <c r="L108" s="6" t="s">
        <v>88</v>
      </c>
    </row>
    <row r="109" spans="1:12" ht="72" customHeight="1">
      <c r="A109" s="4" t="s">
        <v>540</v>
      </c>
      <c r="B109" s="4" t="s">
        <v>541</v>
      </c>
      <c r="C109" s="4" t="s">
        <v>542</v>
      </c>
      <c r="D109" s="4" t="s">
        <v>42</v>
      </c>
      <c r="E109" s="4" t="s">
        <v>33</v>
      </c>
      <c r="F109" s="4" t="s">
        <v>33</v>
      </c>
      <c r="G109" s="4" t="s">
        <v>543</v>
      </c>
      <c r="H109" s="4" t="s">
        <v>543</v>
      </c>
      <c r="I109" s="4" t="s">
        <v>544</v>
      </c>
      <c r="J109" s="4" t="s">
        <v>545</v>
      </c>
      <c r="K109" s="4" t="s">
        <v>546</v>
      </c>
      <c r="L109" s="6" t="s">
        <v>518</v>
      </c>
    </row>
    <row r="110" spans="1:12" ht="72" customHeight="1">
      <c r="A110" s="4" t="s">
        <v>547</v>
      </c>
      <c r="B110" s="4" t="s">
        <v>541</v>
      </c>
      <c r="C110" s="4" t="s">
        <v>548</v>
      </c>
      <c r="D110" s="4" t="s">
        <v>42</v>
      </c>
      <c r="E110" s="4" t="s">
        <v>33</v>
      </c>
      <c r="F110" s="4" t="s">
        <v>33</v>
      </c>
      <c r="G110" s="4" t="s">
        <v>543</v>
      </c>
      <c r="H110" s="4" t="s">
        <v>543</v>
      </c>
      <c r="I110" s="4" t="s">
        <v>544</v>
      </c>
      <c r="J110" s="4" t="s">
        <v>549</v>
      </c>
      <c r="K110" s="4" t="s">
        <v>546</v>
      </c>
      <c r="L110" s="6" t="s">
        <v>116</v>
      </c>
    </row>
    <row r="111" spans="1:12" ht="72" customHeight="1">
      <c r="A111" s="4" t="s">
        <v>550</v>
      </c>
      <c r="B111" s="4" t="s">
        <v>541</v>
      </c>
      <c r="C111" s="4" t="s">
        <v>551</v>
      </c>
      <c r="D111" s="4" t="s">
        <v>42</v>
      </c>
      <c r="E111" s="4" t="s">
        <v>33</v>
      </c>
      <c r="F111" s="4" t="s">
        <v>33</v>
      </c>
      <c r="G111" s="4" t="s">
        <v>543</v>
      </c>
      <c r="H111" s="4" t="s">
        <v>543</v>
      </c>
      <c r="I111" s="4" t="s">
        <v>544</v>
      </c>
      <c r="J111" s="4" t="s">
        <v>552</v>
      </c>
      <c r="K111" s="4" t="s">
        <v>546</v>
      </c>
      <c r="L111" s="6" t="s">
        <v>518</v>
      </c>
    </row>
    <row r="112" spans="1:12" ht="72" customHeight="1">
      <c r="A112" s="4" t="s">
        <v>553</v>
      </c>
      <c r="B112" s="4" t="s">
        <v>541</v>
      </c>
      <c r="C112" s="4" t="s">
        <v>554</v>
      </c>
      <c r="D112" s="4" t="s">
        <v>42</v>
      </c>
      <c r="E112" s="4" t="s">
        <v>33</v>
      </c>
      <c r="F112" s="4" t="s">
        <v>33</v>
      </c>
      <c r="G112" s="4" t="s">
        <v>543</v>
      </c>
      <c r="H112" s="4" t="s">
        <v>543</v>
      </c>
      <c r="I112" s="4" t="s">
        <v>544</v>
      </c>
      <c r="J112" s="4" t="s">
        <v>555</v>
      </c>
      <c r="K112" s="4" t="s">
        <v>546</v>
      </c>
      <c r="L112" s="6" t="s">
        <v>165</v>
      </c>
    </row>
    <row r="113" spans="1:12" ht="72" customHeight="1">
      <c r="A113" s="4" t="s">
        <v>556</v>
      </c>
      <c r="B113" s="4" t="s">
        <v>557</v>
      </c>
      <c r="C113" s="4" t="s">
        <v>558</v>
      </c>
      <c r="D113" s="4" t="s">
        <v>42</v>
      </c>
      <c r="E113" s="4" t="s">
        <v>33</v>
      </c>
      <c r="F113" s="4" t="s">
        <v>33</v>
      </c>
      <c r="G113" s="4" t="s">
        <v>559</v>
      </c>
      <c r="H113" s="4" t="s">
        <v>560</v>
      </c>
      <c r="I113" s="4" t="s">
        <v>561</v>
      </c>
      <c r="J113" s="4" t="s">
        <v>562</v>
      </c>
      <c r="K113" s="4" t="s">
        <v>563</v>
      </c>
      <c r="L113" s="6" t="s">
        <v>39</v>
      </c>
    </row>
    <row r="114" spans="1:12" ht="72" customHeight="1">
      <c r="A114" s="4" t="s">
        <v>564</v>
      </c>
      <c r="B114" s="4" t="s">
        <v>557</v>
      </c>
      <c r="C114" s="4" t="s">
        <v>565</v>
      </c>
      <c r="D114" s="4" t="s">
        <v>42</v>
      </c>
      <c r="E114" s="4" t="s">
        <v>33</v>
      </c>
      <c r="F114" s="4" t="s">
        <v>33</v>
      </c>
      <c r="G114" s="4" t="s">
        <v>559</v>
      </c>
      <c r="H114" s="4" t="s">
        <v>560</v>
      </c>
      <c r="I114" s="4" t="s">
        <v>561</v>
      </c>
      <c r="J114" s="4" t="s">
        <v>566</v>
      </c>
      <c r="K114" s="4" t="s">
        <v>567</v>
      </c>
      <c r="L114" s="6" t="s">
        <v>518</v>
      </c>
    </row>
    <row r="115" spans="1:12" ht="72" customHeight="1">
      <c r="A115" s="4" t="s">
        <v>568</v>
      </c>
      <c r="B115" s="4" t="s">
        <v>557</v>
      </c>
      <c r="C115" s="4" t="s">
        <v>569</v>
      </c>
      <c r="D115" s="4" t="s">
        <v>42</v>
      </c>
      <c r="E115" s="4" t="s">
        <v>33</v>
      </c>
      <c r="F115" s="4" t="s">
        <v>33</v>
      </c>
      <c r="G115" s="4" t="s">
        <v>559</v>
      </c>
      <c r="H115" s="4" t="s">
        <v>560</v>
      </c>
      <c r="I115" s="4" t="s">
        <v>561</v>
      </c>
      <c r="J115" s="4" t="s">
        <v>570</v>
      </c>
      <c r="K115" s="4" t="s">
        <v>567</v>
      </c>
      <c r="L115" s="6" t="s">
        <v>88</v>
      </c>
    </row>
    <row r="116" spans="1:12" ht="72" customHeight="1">
      <c r="A116" s="4" t="s">
        <v>571</v>
      </c>
      <c r="B116" s="4" t="s">
        <v>557</v>
      </c>
      <c r="C116" s="4" t="s">
        <v>572</v>
      </c>
      <c r="D116" s="4" t="s">
        <v>42</v>
      </c>
      <c r="E116" s="4" t="s">
        <v>33</v>
      </c>
      <c r="F116" s="4" t="s">
        <v>33</v>
      </c>
      <c r="G116" s="4" t="s">
        <v>559</v>
      </c>
      <c r="H116" s="4" t="s">
        <v>560</v>
      </c>
      <c r="I116" s="4" t="s">
        <v>561</v>
      </c>
      <c r="J116" s="4" t="s">
        <v>573</v>
      </c>
      <c r="K116" s="4" t="s">
        <v>567</v>
      </c>
      <c r="L116" s="6" t="s">
        <v>307</v>
      </c>
    </row>
    <row r="117" spans="1:12" ht="72" customHeight="1">
      <c r="A117" s="4" t="s">
        <v>574</v>
      </c>
      <c r="B117" s="4" t="s">
        <v>557</v>
      </c>
      <c r="C117" s="4" t="s">
        <v>575</v>
      </c>
      <c r="D117" s="4" t="s">
        <v>42</v>
      </c>
      <c r="E117" s="4" t="s">
        <v>33</v>
      </c>
      <c r="F117" s="4" t="s">
        <v>33</v>
      </c>
      <c r="G117" s="4" t="s">
        <v>559</v>
      </c>
      <c r="H117" s="4" t="s">
        <v>560</v>
      </c>
      <c r="I117" s="4" t="s">
        <v>561</v>
      </c>
      <c r="J117" s="4" t="s">
        <v>576</v>
      </c>
      <c r="K117" s="4" t="s">
        <v>577</v>
      </c>
      <c r="L117" s="6" t="s">
        <v>311</v>
      </c>
    </row>
    <row r="118" spans="1:12" ht="72" customHeight="1">
      <c r="A118" s="4" t="s">
        <v>578</v>
      </c>
      <c r="B118" s="4" t="s">
        <v>557</v>
      </c>
      <c r="C118" s="4" t="s">
        <v>579</v>
      </c>
      <c r="D118" s="4" t="s">
        <v>42</v>
      </c>
      <c r="E118" s="4" t="s">
        <v>33</v>
      </c>
      <c r="F118" s="4" t="s">
        <v>33</v>
      </c>
      <c r="G118" s="4" t="s">
        <v>559</v>
      </c>
      <c r="H118" s="4" t="s">
        <v>560</v>
      </c>
      <c r="I118" s="4" t="s">
        <v>561</v>
      </c>
      <c r="J118" s="4" t="s">
        <v>580</v>
      </c>
      <c r="K118" s="4" t="s">
        <v>581</v>
      </c>
      <c r="L118" s="6" t="s">
        <v>81</v>
      </c>
    </row>
    <row r="119" spans="1:12" ht="72" customHeight="1">
      <c r="A119" s="4" t="s">
        <v>582</v>
      </c>
      <c r="B119" s="4" t="s">
        <v>557</v>
      </c>
      <c r="C119" s="4" t="s">
        <v>583</v>
      </c>
      <c r="D119" s="4" t="s">
        <v>42</v>
      </c>
      <c r="E119" s="4" t="s">
        <v>33</v>
      </c>
      <c r="F119" s="4" t="s">
        <v>33</v>
      </c>
      <c r="G119" s="4" t="s">
        <v>559</v>
      </c>
      <c r="H119" s="4" t="s">
        <v>560</v>
      </c>
      <c r="I119" s="4" t="s">
        <v>561</v>
      </c>
      <c r="J119" s="4" t="s">
        <v>584</v>
      </c>
      <c r="K119" s="4" t="s">
        <v>585</v>
      </c>
      <c r="L119" s="6" t="s">
        <v>159</v>
      </c>
    </row>
    <row r="120" spans="1:12" ht="72" customHeight="1">
      <c r="A120" s="4" t="s">
        <v>586</v>
      </c>
      <c r="B120" s="4" t="s">
        <v>557</v>
      </c>
      <c r="C120" s="4" t="s">
        <v>587</v>
      </c>
      <c r="D120" s="4" t="s">
        <v>42</v>
      </c>
      <c r="E120" s="4" t="s">
        <v>33</v>
      </c>
      <c r="F120" s="4" t="s">
        <v>33</v>
      </c>
      <c r="G120" s="4" t="s">
        <v>559</v>
      </c>
      <c r="H120" s="4" t="s">
        <v>560</v>
      </c>
      <c r="I120" s="4" t="s">
        <v>561</v>
      </c>
      <c r="J120" s="4" t="s">
        <v>588</v>
      </c>
      <c r="K120" s="4" t="s">
        <v>589</v>
      </c>
      <c r="L120" s="6" t="s">
        <v>110</v>
      </c>
    </row>
    <row r="121" spans="1:12" ht="72" customHeight="1">
      <c r="A121" s="4" t="s">
        <v>590</v>
      </c>
      <c r="B121" s="4" t="s">
        <v>591</v>
      </c>
      <c r="C121" s="4" t="s">
        <v>592</v>
      </c>
      <c r="D121" s="4" t="s">
        <v>42</v>
      </c>
      <c r="E121" s="4" t="s">
        <v>33</v>
      </c>
      <c r="F121" s="4" t="s">
        <v>33</v>
      </c>
      <c r="G121" s="4" t="s">
        <v>593</v>
      </c>
      <c r="H121" s="4" t="s">
        <v>594</v>
      </c>
      <c r="I121" s="4" t="s">
        <v>595</v>
      </c>
      <c r="J121" s="4" t="s">
        <v>596</v>
      </c>
      <c r="K121" s="4" t="s">
        <v>597</v>
      </c>
      <c r="L121" s="6" t="s">
        <v>39</v>
      </c>
    </row>
    <row r="122" spans="1:12" ht="72" customHeight="1">
      <c r="A122" s="4" t="s">
        <v>598</v>
      </c>
      <c r="B122" s="4" t="s">
        <v>591</v>
      </c>
      <c r="C122" s="4" t="s">
        <v>599</v>
      </c>
      <c r="D122" s="4" t="s">
        <v>42</v>
      </c>
      <c r="E122" s="4" t="s">
        <v>33</v>
      </c>
      <c r="F122" s="4" t="s">
        <v>33</v>
      </c>
      <c r="G122" s="4" t="s">
        <v>593</v>
      </c>
      <c r="H122" s="4" t="s">
        <v>594</v>
      </c>
      <c r="I122" s="4" t="s">
        <v>595</v>
      </c>
      <c r="J122" s="4" t="s">
        <v>600</v>
      </c>
      <c r="K122" s="4" t="s">
        <v>597</v>
      </c>
      <c r="L122" s="6" t="s">
        <v>311</v>
      </c>
    </row>
    <row r="123" spans="1:12" ht="72" customHeight="1">
      <c r="A123" s="4" t="s">
        <v>601</v>
      </c>
      <c r="B123" s="4" t="s">
        <v>591</v>
      </c>
      <c r="C123" s="4" t="s">
        <v>602</v>
      </c>
      <c r="D123" s="4" t="s">
        <v>42</v>
      </c>
      <c r="E123" s="4" t="s">
        <v>33</v>
      </c>
      <c r="F123" s="4" t="s">
        <v>33</v>
      </c>
      <c r="G123" s="4" t="s">
        <v>593</v>
      </c>
      <c r="H123" s="4" t="s">
        <v>594</v>
      </c>
      <c r="I123" s="4" t="s">
        <v>595</v>
      </c>
      <c r="J123" s="4" t="s">
        <v>603</v>
      </c>
      <c r="K123" s="4" t="s">
        <v>597</v>
      </c>
      <c r="L123" s="6" t="s">
        <v>165</v>
      </c>
    </row>
    <row r="124" spans="1:12" ht="72" customHeight="1">
      <c r="A124" s="4" t="s">
        <v>604</v>
      </c>
      <c r="B124" s="4" t="s">
        <v>605</v>
      </c>
      <c r="C124" s="4" t="s">
        <v>606</v>
      </c>
      <c r="D124" s="4" t="s">
        <v>42</v>
      </c>
      <c r="E124" s="4" t="s">
        <v>33</v>
      </c>
      <c r="F124" s="4" t="s">
        <v>33</v>
      </c>
      <c r="G124" s="4" t="s">
        <v>607</v>
      </c>
      <c r="H124" s="4" t="s">
        <v>608</v>
      </c>
      <c r="I124" s="4" t="s">
        <v>609</v>
      </c>
      <c r="J124" s="4" t="s">
        <v>610</v>
      </c>
      <c r="K124" s="4" t="s">
        <v>611</v>
      </c>
      <c r="L124" s="6" t="s">
        <v>39</v>
      </c>
    </row>
    <row r="125" spans="1:12" ht="72" customHeight="1">
      <c r="A125" s="4" t="s">
        <v>612</v>
      </c>
      <c r="B125" s="4" t="s">
        <v>605</v>
      </c>
      <c r="C125" s="4" t="s">
        <v>613</v>
      </c>
      <c r="D125" s="4" t="s">
        <v>42</v>
      </c>
      <c r="E125" s="4" t="s">
        <v>33</v>
      </c>
      <c r="F125" s="4" t="s">
        <v>33</v>
      </c>
      <c r="G125" s="4" t="s">
        <v>607</v>
      </c>
      <c r="H125" s="4" t="s">
        <v>608</v>
      </c>
      <c r="I125" s="4" t="s">
        <v>609</v>
      </c>
      <c r="J125" s="4" t="s">
        <v>614</v>
      </c>
      <c r="K125" s="4" t="s">
        <v>611</v>
      </c>
      <c r="L125" s="6" t="s">
        <v>95</v>
      </c>
    </row>
    <row r="126" spans="1:12" ht="72" customHeight="1">
      <c r="A126" s="4" t="s">
        <v>615</v>
      </c>
      <c r="B126" s="4" t="s">
        <v>605</v>
      </c>
      <c r="C126" s="4" t="s">
        <v>616</v>
      </c>
      <c r="D126" s="4" t="s">
        <v>42</v>
      </c>
      <c r="E126" s="4" t="s">
        <v>33</v>
      </c>
      <c r="F126" s="4" t="s">
        <v>33</v>
      </c>
      <c r="G126" s="4" t="s">
        <v>607</v>
      </c>
      <c r="H126" s="4" t="s">
        <v>608</v>
      </c>
      <c r="I126" s="4" t="s">
        <v>609</v>
      </c>
      <c r="J126" s="4" t="s">
        <v>617</v>
      </c>
      <c r="K126" s="4" t="s">
        <v>611</v>
      </c>
      <c r="L126" s="6" t="s">
        <v>165</v>
      </c>
    </row>
    <row r="127" spans="1:12" ht="72" customHeight="1">
      <c r="A127" s="4" t="s">
        <v>618</v>
      </c>
      <c r="B127" s="4" t="s">
        <v>605</v>
      </c>
      <c r="C127" s="4" t="s">
        <v>619</v>
      </c>
      <c r="D127" s="4" t="s">
        <v>42</v>
      </c>
      <c r="E127" s="4" t="s">
        <v>33</v>
      </c>
      <c r="F127" s="4" t="s">
        <v>33</v>
      </c>
      <c r="G127" s="4" t="s">
        <v>607</v>
      </c>
      <c r="H127" s="4" t="s">
        <v>608</v>
      </c>
      <c r="I127" s="4" t="s">
        <v>609</v>
      </c>
      <c r="J127" s="4" t="s">
        <v>620</v>
      </c>
      <c r="K127" s="4" t="s">
        <v>611</v>
      </c>
      <c r="L127" s="6" t="s">
        <v>88</v>
      </c>
    </row>
    <row r="128" spans="1:12" ht="72" customHeight="1">
      <c r="A128" s="4" t="s">
        <v>621</v>
      </c>
      <c r="B128" s="4" t="s">
        <v>605</v>
      </c>
      <c r="C128" s="4" t="s">
        <v>622</v>
      </c>
      <c r="D128" s="4" t="s">
        <v>42</v>
      </c>
      <c r="E128" s="4" t="s">
        <v>33</v>
      </c>
      <c r="F128" s="4" t="s">
        <v>33</v>
      </c>
      <c r="G128" s="4" t="s">
        <v>607</v>
      </c>
      <c r="H128" s="4" t="s">
        <v>608</v>
      </c>
      <c r="I128" s="4" t="s">
        <v>609</v>
      </c>
      <c r="J128" s="4" t="s">
        <v>623</v>
      </c>
      <c r="K128" s="4" t="s">
        <v>624</v>
      </c>
      <c r="L128" s="6" t="s">
        <v>625</v>
      </c>
    </row>
    <row r="129" spans="1:12" ht="72" customHeight="1">
      <c r="A129" s="4" t="s">
        <v>626</v>
      </c>
      <c r="B129" s="4" t="s">
        <v>605</v>
      </c>
      <c r="C129" s="4" t="s">
        <v>627</v>
      </c>
      <c r="D129" s="4" t="s">
        <v>42</v>
      </c>
      <c r="E129" s="4" t="s">
        <v>33</v>
      </c>
      <c r="F129" s="4" t="s">
        <v>33</v>
      </c>
      <c r="G129" s="4" t="s">
        <v>607</v>
      </c>
      <c r="H129" s="4" t="s">
        <v>608</v>
      </c>
      <c r="I129" s="4" t="s">
        <v>609</v>
      </c>
      <c r="J129" s="4" t="s">
        <v>628</v>
      </c>
      <c r="K129" s="4" t="s">
        <v>629</v>
      </c>
      <c r="L129" s="6" t="s">
        <v>116</v>
      </c>
    </row>
    <row r="130" spans="1:12" ht="72" customHeight="1">
      <c r="A130" s="4" t="s">
        <v>630</v>
      </c>
      <c r="B130" s="4" t="s">
        <v>631</v>
      </c>
      <c r="C130" s="4" t="s">
        <v>632</v>
      </c>
      <c r="D130" s="4" t="s">
        <v>42</v>
      </c>
      <c r="E130" s="4" t="s">
        <v>33</v>
      </c>
      <c r="F130" s="4" t="s">
        <v>33</v>
      </c>
      <c r="G130" s="4" t="s">
        <v>633</v>
      </c>
      <c r="H130" s="4" t="s">
        <v>634</v>
      </c>
      <c r="I130" s="4" t="s">
        <v>635</v>
      </c>
      <c r="J130" s="4" t="s">
        <v>636</v>
      </c>
      <c r="K130" s="4" t="s">
        <v>637</v>
      </c>
      <c r="L130" s="6" t="s">
        <v>88</v>
      </c>
    </row>
    <row r="131" spans="1:12" ht="72" customHeight="1">
      <c r="A131" s="4" t="s">
        <v>638</v>
      </c>
      <c r="B131" s="4" t="s">
        <v>631</v>
      </c>
      <c r="C131" s="4" t="s">
        <v>639</v>
      </c>
      <c r="D131" s="4" t="s">
        <v>42</v>
      </c>
      <c r="E131" s="4" t="s">
        <v>33</v>
      </c>
      <c r="F131" s="4" t="s">
        <v>33</v>
      </c>
      <c r="G131" s="4" t="s">
        <v>633</v>
      </c>
      <c r="H131" s="4" t="s">
        <v>634</v>
      </c>
      <c r="I131" s="4" t="s">
        <v>635</v>
      </c>
      <c r="J131" s="4" t="s">
        <v>640</v>
      </c>
      <c r="K131" s="4" t="s">
        <v>637</v>
      </c>
      <c r="L131" s="6" t="s">
        <v>165</v>
      </c>
    </row>
    <row r="132" spans="1:12" ht="72" customHeight="1">
      <c r="A132" s="4" t="s">
        <v>641</v>
      </c>
      <c r="B132" s="4" t="s">
        <v>631</v>
      </c>
      <c r="C132" s="4" t="s">
        <v>642</v>
      </c>
      <c r="D132" s="4" t="s">
        <v>42</v>
      </c>
      <c r="E132" s="4" t="s">
        <v>33</v>
      </c>
      <c r="F132" s="4" t="s">
        <v>33</v>
      </c>
      <c r="G132" s="4" t="s">
        <v>633</v>
      </c>
      <c r="H132" s="4" t="s">
        <v>634</v>
      </c>
      <c r="I132" s="4" t="s">
        <v>635</v>
      </c>
      <c r="J132" s="4" t="s">
        <v>643</v>
      </c>
      <c r="K132" s="4" t="s">
        <v>644</v>
      </c>
      <c r="L132" s="6" t="s">
        <v>39</v>
      </c>
    </row>
    <row r="133" spans="1:12" ht="72" customHeight="1">
      <c r="A133" s="4" t="s">
        <v>645</v>
      </c>
      <c r="B133" s="4" t="s">
        <v>646</v>
      </c>
      <c r="C133" s="4" t="s">
        <v>647</v>
      </c>
      <c r="D133" s="4" t="s">
        <v>42</v>
      </c>
      <c r="E133" s="4" t="s">
        <v>33</v>
      </c>
      <c r="F133" s="4" t="s">
        <v>33</v>
      </c>
      <c r="G133" s="4" t="s">
        <v>648</v>
      </c>
      <c r="H133" s="4" t="s">
        <v>649</v>
      </c>
      <c r="I133" s="4" t="s">
        <v>650</v>
      </c>
      <c r="J133" s="4" t="s">
        <v>651</v>
      </c>
      <c r="K133" s="4" t="s">
        <v>652</v>
      </c>
      <c r="L133" s="6" t="s">
        <v>518</v>
      </c>
    </row>
    <row r="134" spans="1:12" ht="72" customHeight="1">
      <c r="A134" s="4" t="s">
        <v>653</v>
      </c>
      <c r="B134" s="4" t="s">
        <v>646</v>
      </c>
      <c r="C134" s="4" t="s">
        <v>654</v>
      </c>
      <c r="D134" s="4" t="s">
        <v>42</v>
      </c>
      <c r="E134" s="4" t="s">
        <v>33</v>
      </c>
      <c r="F134" s="4" t="s">
        <v>33</v>
      </c>
      <c r="G134" s="4" t="s">
        <v>648</v>
      </c>
      <c r="H134" s="4" t="s">
        <v>649</v>
      </c>
      <c r="I134" s="4" t="s">
        <v>650</v>
      </c>
      <c r="J134" s="4" t="s">
        <v>655</v>
      </c>
      <c r="K134" s="4" t="s">
        <v>656</v>
      </c>
      <c r="L134" s="6" t="s">
        <v>116</v>
      </c>
    </row>
    <row r="135" spans="1:12" ht="72" customHeight="1">
      <c r="A135" s="4" t="s">
        <v>657</v>
      </c>
      <c r="B135" s="4" t="s">
        <v>646</v>
      </c>
      <c r="C135" s="4" t="s">
        <v>658</v>
      </c>
      <c r="D135" s="4" t="s">
        <v>42</v>
      </c>
      <c r="E135" s="4" t="s">
        <v>33</v>
      </c>
      <c r="F135" s="4" t="s">
        <v>33</v>
      </c>
      <c r="G135" s="4" t="s">
        <v>648</v>
      </c>
      <c r="H135" s="4" t="s">
        <v>649</v>
      </c>
      <c r="I135" s="4" t="s">
        <v>650</v>
      </c>
      <c r="J135" s="4" t="s">
        <v>659</v>
      </c>
      <c r="K135" s="4" t="s">
        <v>660</v>
      </c>
      <c r="L135" s="6" t="s">
        <v>88</v>
      </c>
    </row>
    <row r="136" spans="1:12" ht="72" customHeight="1">
      <c r="A136" s="4" t="s">
        <v>661</v>
      </c>
      <c r="B136" s="4" t="s">
        <v>662</v>
      </c>
      <c r="C136" s="4" t="s">
        <v>663</v>
      </c>
      <c r="D136" s="4" t="s">
        <v>42</v>
      </c>
      <c r="E136" s="4" t="s">
        <v>33</v>
      </c>
      <c r="F136" s="4" t="s">
        <v>33</v>
      </c>
      <c r="G136" s="4" t="s">
        <v>664</v>
      </c>
      <c r="H136" s="4" t="s">
        <v>665</v>
      </c>
      <c r="I136" s="4" t="s">
        <v>666</v>
      </c>
      <c r="J136" s="4" t="s">
        <v>667</v>
      </c>
      <c r="K136" s="4" t="s">
        <v>668</v>
      </c>
      <c r="L136" s="6" t="s">
        <v>669</v>
      </c>
    </row>
    <row r="137" spans="1:12" ht="72" customHeight="1">
      <c r="A137" s="4" t="s">
        <v>670</v>
      </c>
      <c r="B137" s="4" t="s">
        <v>662</v>
      </c>
      <c r="C137" s="4" t="s">
        <v>671</v>
      </c>
      <c r="D137" s="4" t="s">
        <v>42</v>
      </c>
      <c r="E137" s="4" t="s">
        <v>33</v>
      </c>
      <c r="F137" s="4" t="s">
        <v>33</v>
      </c>
      <c r="G137" s="4" t="s">
        <v>664</v>
      </c>
      <c r="H137" s="4" t="s">
        <v>665</v>
      </c>
      <c r="I137" s="4" t="s">
        <v>666</v>
      </c>
      <c r="J137" s="4" t="s">
        <v>672</v>
      </c>
      <c r="K137" s="4" t="s">
        <v>673</v>
      </c>
      <c r="L137" s="6" t="s">
        <v>88</v>
      </c>
    </row>
    <row r="138" spans="1:12" ht="72" customHeight="1">
      <c r="A138" s="4" t="s">
        <v>674</v>
      </c>
      <c r="B138" s="4" t="s">
        <v>662</v>
      </c>
      <c r="C138" s="4" t="s">
        <v>675</v>
      </c>
      <c r="D138" s="4" t="s">
        <v>42</v>
      </c>
      <c r="E138" s="4" t="s">
        <v>33</v>
      </c>
      <c r="F138" s="4" t="s">
        <v>33</v>
      </c>
      <c r="G138" s="4" t="s">
        <v>664</v>
      </c>
      <c r="H138" s="4" t="s">
        <v>665</v>
      </c>
      <c r="I138" s="4" t="s">
        <v>666</v>
      </c>
      <c r="J138" s="4" t="s">
        <v>676</v>
      </c>
      <c r="K138" s="4" t="s">
        <v>677</v>
      </c>
      <c r="L138" s="6" t="s">
        <v>518</v>
      </c>
    </row>
    <row r="139" spans="1:12" ht="72" customHeight="1">
      <c r="A139" s="4" t="s">
        <v>678</v>
      </c>
      <c r="B139" s="4" t="s">
        <v>662</v>
      </c>
      <c r="C139" s="4" t="s">
        <v>679</v>
      </c>
      <c r="D139" s="4" t="s">
        <v>42</v>
      </c>
      <c r="E139" s="4" t="s">
        <v>33</v>
      </c>
      <c r="F139" s="4" t="s">
        <v>33</v>
      </c>
      <c r="G139" s="4" t="s">
        <v>664</v>
      </c>
      <c r="H139" s="4" t="s">
        <v>665</v>
      </c>
      <c r="I139" s="4" t="s">
        <v>666</v>
      </c>
      <c r="J139" s="4" t="s">
        <v>680</v>
      </c>
      <c r="K139" s="4" t="s">
        <v>673</v>
      </c>
      <c r="L139" s="6" t="s">
        <v>183</v>
      </c>
    </row>
    <row r="140" spans="1:12" ht="72" customHeight="1">
      <c r="A140" s="4" t="s">
        <v>681</v>
      </c>
      <c r="B140" s="4" t="s">
        <v>682</v>
      </c>
      <c r="C140" s="4" t="s">
        <v>683</v>
      </c>
      <c r="D140" s="4" t="s">
        <v>42</v>
      </c>
      <c r="E140" s="4" t="s">
        <v>33</v>
      </c>
      <c r="F140" s="4" t="s">
        <v>33</v>
      </c>
      <c r="G140" s="4" t="s">
        <v>684</v>
      </c>
      <c r="H140" s="4" t="s">
        <v>685</v>
      </c>
      <c r="I140" s="4" t="s">
        <v>686</v>
      </c>
      <c r="J140" s="4" t="s">
        <v>687</v>
      </c>
      <c r="K140" s="4" t="s">
        <v>688</v>
      </c>
      <c r="L140" s="6" t="s">
        <v>625</v>
      </c>
    </row>
    <row r="141" spans="1:12" ht="72" customHeight="1">
      <c r="A141" s="4" t="s">
        <v>689</v>
      </c>
      <c r="B141" s="4" t="s">
        <v>682</v>
      </c>
      <c r="C141" s="4" t="s">
        <v>690</v>
      </c>
      <c r="D141" s="4" t="s">
        <v>42</v>
      </c>
      <c r="E141" s="4" t="s">
        <v>33</v>
      </c>
      <c r="F141" s="4" t="s">
        <v>33</v>
      </c>
      <c r="G141" s="4" t="s">
        <v>684</v>
      </c>
      <c r="H141" s="4" t="s">
        <v>685</v>
      </c>
      <c r="I141" s="4" t="s">
        <v>686</v>
      </c>
      <c r="J141" s="4" t="s">
        <v>691</v>
      </c>
      <c r="K141" s="4" t="s">
        <v>688</v>
      </c>
      <c r="L141" s="6" t="s">
        <v>518</v>
      </c>
    </row>
    <row r="142" spans="1:12" ht="72" customHeight="1">
      <c r="A142" s="4" t="s">
        <v>692</v>
      </c>
      <c r="B142" s="4" t="s">
        <v>682</v>
      </c>
      <c r="C142" s="4" t="s">
        <v>693</v>
      </c>
      <c r="D142" s="4" t="s">
        <v>42</v>
      </c>
      <c r="E142" s="4" t="s">
        <v>33</v>
      </c>
      <c r="F142" s="4" t="s">
        <v>33</v>
      </c>
      <c r="G142" s="4" t="s">
        <v>684</v>
      </c>
      <c r="H142" s="4" t="s">
        <v>685</v>
      </c>
      <c r="I142" s="4" t="s">
        <v>686</v>
      </c>
      <c r="J142" s="4" t="s">
        <v>694</v>
      </c>
      <c r="K142" s="4" t="s">
        <v>688</v>
      </c>
      <c r="L142" s="6" t="s">
        <v>81</v>
      </c>
    </row>
    <row r="143" spans="1:12" ht="72" customHeight="1">
      <c r="A143" s="4" t="s">
        <v>695</v>
      </c>
      <c r="B143" s="4" t="s">
        <v>682</v>
      </c>
      <c r="C143" s="4" t="s">
        <v>696</v>
      </c>
      <c r="D143" s="4" t="s">
        <v>42</v>
      </c>
      <c r="E143" s="4" t="s">
        <v>33</v>
      </c>
      <c r="F143" s="4" t="s">
        <v>33</v>
      </c>
      <c r="G143" s="4" t="s">
        <v>684</v>
      </c>
      <c r="H143" s="4" t="s">
        <v>685</v>
      </c>
      <c r="I143" s="4" t="s">
        <v>686</v>
      </c>
      <c r="J143" s="4" t="s">
        <v>697</v>
      </c>
      <c r="K143" s="4" t="s">
        <v>698</v>
      </c>
      <c r="L143" s="6" t="s">
        <v>110</v>
      </c>
    </row>
    <row r="144" spans="1:12" ht="72" customHeight="1">
      <c r="A144" s="4" t="s">
        <v>699</v>
      </c>
      <c r="B144" s="4" t="s">
        <v>700</v>
      </c>
      <c r="C144" s="4" t="s">
        <v>701</v>
      </c>
      <c r="D144" s="4" t="s">
        <v>42</v>
      </c>
      <c r="E144" s="4" t="s">
        <v>33</v>
      </c>
      <c r="F144" s="4" t="s">
        <v>33</v>
      </c>
      <c r="G144" s="4" t="s">
        <v>702</v>
      </c>
      <c r="H144" s="4" t="s">
        <v>703</v>
      </c>
      <c r="I144" s="4" t="s">
        <v>704</v>
      </c>
      <c r="J144" s="4" t="s">
        <v>705</v>
      </c>
      <c r="K144" s="4" t="s">
        <v>706</v>
      </c>
      <c r="L144" s="6" t="s">
        <v>39</v>
      </c>
    </row>
    <row r="145" spans="1:12" ht="72" customHeight="1">
      <c r="A145" s="4" t="s">
        <v>707</v>
      </c>
      <c r="B145" s="4" t="s">
        <v>700</v>
      </c>
      <c r="C145" s="4" t="s">
        <v>708</v>
      </c>
      <c r="D145" s="4" t="s">
        <v>42</v>
      </c>
      <c r="E145" s="4" t="s">
        <v>33</v>
      </c>
      <c r="F145" s="4" t="s">
        <v>33</v>
      </c>
      <c r="G145" s="4" t="s">
        <v>702</v>
      </c>
      <c r="H145" s="4" t="s">
        <v>703</v>
      </c>
      <c r="I145" s="4" t="s">
        <v>704</v>
      </c>
      <c r="J145" s="4" t="s">
        <v>709</v>
      </c>
      <c r="K145" s="4" t="s">
        <v>706</v>
      </c>
      <c r="L145" s="6" t="s">
        <v>95</v>
      </c>
    </row>
    <row r="146" spans="1:12" ht="72" customHeight="1">
      <c r="A146" s="4" t="s">
        <v>710</v>
      </c>
      <c r="B146" s="4" t="s">
        <v>700</v>
      </c>
      <c r="C146" s="4" t="s">
        <v>711</v>
      </c>
      <c r="D146" s="4" t="s">
        <v>42</v>
      </c>
      <c r="E146" s="4" t="s">
        <v>33</v>
      </c>
      <c r="F146" s="4" t="s">
        <v>33</v>
      </c>
      <c r="G146" s="4" t="s">
        <v>702</v>
      </c>
      <c r="H146" s="4" t="s">
        <v>703</v>
      </c>
      <c r="I146" s="4" t="s">
        <v>704</v>
      </c>
      <c r="J146" s="4" t="s">
        <v>712</v>
      </c>
      <c r="K146" s="4" t="s">
        <v>706</v>
      </c>
      <c r="L146" s="6" t="s">
        <v>165</v>
      </c>
    </row>
    <row r="147" spans="1:12" ht="72" customHeight="1">
      <c r="A147" s="4" t="s">
        <v>713</v>
      </c>
      <c r="B147" s="4" t="s">
        <v>700</v>
      </c>
      <c r="C147" s="4" t="s">
        <v>714</v>
      </c>
      <c r="D147" s="4" t="s">
        <v>42</v>
      </c>
      <c r="E147" s="4" t="s">
        <v>33</v>
      </c>
      <c r="F147" s="4" t="s">
        <v>33</v>
      </c>
      <c r="G147" s="4" t="s">
        <v>702</v>
      </c>
      <c r="H147" s="4" t="s">
        <v>703</v>
      </c>
      <c r="I147" s="4" t="s">
        <v>704</v>
      </c>
      <c r="J147" s="4" t="s">
        <v>715</v>
      </c>
      <c r="K147" s="4" t="s">
        <v>706</v>
      </c>
      <c r="L147" s="6" t="s">
        <v>165</v>
      </c>
    </row>
    <row r="148" spans="1:12" ht="72" customHeight="1">
      <c r="A148" s="4" t="s">
        <v>716</v>
      </c>
      <c r="B148" s="4" t="s">
        <v>700</v>
      </c>
      <c r="C148" s="4" t="s">
        <v>717</v>
      </c>
      <c r="D148" s="4" t="s">
        <v>42</v>
      </c>
      <c r="E148" s="4" t="s">
        <v>33</v>
      </c>
      <c r="F148" s="4" t="s">
        <v>33</v>
      </c>
      <c r="G148" s="4" t="s">
        <v>702</v>
      </c>
      <c r="H148" s="4" t="s">
        <v>703</v>
      </c>
      <c r="I148" s="4" t="s">
        <v>704</v>
      </c>
      <c r="J148" s="4" t="s">
        <v>718</v>
      </c>
      <c r="K148" s="4" t="s">
        <v>719</v>
      </c>
      <c r="L148" s="6" t="s">
        <v>159</v>
      </c>
    </row>
    <row r="149" spans="1:12" ht="72" customHeight="1">
      <c r="A149" s="4" t="s">
        <v>720</v>
      </c>
      <c r="B149" s="4" t="s">
        <v>721</v>
      </c>
      <c r="C149" s="4" t="s">
        <v>722</v>
      </c>
      <c r="D149" s="4" t="s">
        <v>42</v>
      </c>
      <c r="E149" s="4" t="s">
        <v>33</v>
      </c>
      <c r="F149" s="4" t="s">
        <v>33</v>
      </c>
      <c r="G149" s="4" t="s">
        <v>723</v>
      </c>
      <c r="H149" s="4" t="s">
        <v>724</v>
      </c>
      <c r="I149" s="4" t="s">
        <v>725</v>
      </c>
      <c r="J149" s="4" t="s">
        <v>726</v>
      </c>
      <c r="K149" s="4" t="s">
        <v>727</v>
      </c>
      <c r="L149" s="6" t="s">
        <v>147</v>
      </c>
    </row>
    <row r="150" spans="1:12" ht="72" customHeight="1">
      <c r="A150" s="4" t="s">
        <v>728</v>
      </c>
      <c r="B150" s="4" t="s">
        <v>721</v>
      </c>
      <c r="C150" s="4" t="s">
        <v>729</v>
      </c>
      <c r="D150" s="4" t="s">
        <v>42</v>
      </c>
      <c r="E150" s="4" t="s">
        <v>33</v>
      </c>
      <c r="F150" s="4" t="s">
        <v>33</v>
      </c>
      <c r="G150" s="4" t="s">
        <v>723</v>
      </c>
      <c r="H150" s="4" t="s">
        <v>724</v>
      </c>
      <c r="I150" s="4" t="s">
        <v>725</v>
      </c>
      <c r="J150" s="4" t="s">
        <v>730</v>
      </c>
      <c r="K150" s="4" t="s">
        <v>731</v>
      </c>
      <c r="L150" s="6" t="s">
        <v>95</v>
      </c>
    </row>
    <row r="151" spans="1:12" ht="72" customHeight="1">
      <c r="A151" s="4" t="s">
        <v>732</v>
      </c>
      <c r="B151" s="4" t="s">
        <v>721</v>
      </c>
      <c r="C151" s="4" t="s">
        <v>733</v>
      </c>
      <c r="D151" s="4" t="s">
        <v>42</v>
      </c>
      <c r="E151" s="4" t="s">
        <v>33</v>
      </c>
      <c r="F151" s="4" t="s">
        <v>33</v>
      </c>
      <c r="G151" s="4" t="s">
        <v>723</v>
      </c>
      <c r="H151" s="4" t="s">
        <v>724</v>
      </c>
      <c r="I151" s="4" t="s">
        <v>725</v>
      </c>
      <c r="J151" s="4" t="s">
        <v>734</v>
      </c>
      <c r="K151" s="4" t="s">
        <v>735</v>
      </c>
      <c r="L151" s="6" t="s">
        <v>88</v>
      </c>
    </row>
    <row r="152" spans="1:12" ht="72" customHeight="1">
      <c r="A152" s="4" t="s">
        <v>736</v>
      </c>
      <c r="B152" s="4" t="s">
        <v>721</v>
      </c>
      <c r="C152" s="4" t="s">
        <v>737</v>
      </c>
      <c r="D152" s="4" t="s">
        <v>42</v>
      </c>
      <c r="E152" s="4" t="s">
        <v>33</v>
      </c>
      <c r="F152" s="4" t="s">
        <v>33</v>
      </c>
      <c r="G152" s="4" t="s">
        <v>723</v>
      </c>
      <c r="H152" s="4" t="s">
        <v>724</v>
      </c>
      <c r="I152" s="4" t="s">
        <v>725</v>
      </c>
      <c r="J152" s="4" t="s">
        <v>738</v>
      </c>
      <c r="K152" s="4" t="s">
        <v>739</v>
      </c>
      <c r="L152" s="6" t="s">
        <v>81</v>
      </c>
    </row>
    <row r="153" spans="1:12" ht="72" customHeight="1">
      <c r="A153" s="4" t="s">
        <v>740</v>
      </c>
      <c r="B153" s="4" t="s">
        <v>721</v>
      </c>
      <c r="C153" s="4" t="s">
        <v>741</v>
      </c>
      <c r="D153" s="4" t="s">
        <v>42</v>
      </c>
      <c r="E153" s="4" t="s">
        <v>33</v>
      </c>
      <c r="F153" s="4" t="s">
        <v>33</v>
      </c>
      <c r="G153" s="4" t="s">
        <v>723</v>
      </c>
      <c r="H153" s="4" t="s">
        <v>724</v>
      </c>
      <c r="I153" s="4" t="s">
        <v>725</v>
      </c>
      <c r="J153" s="4" t="s">
        <v>742</v>
      </c>
      <c r="K153" s="4" t="s">
        <v>743</v>
      </c>
      <c r="L153" s="6" t="s">
        <v>103</v>
      </c>
    </row>
    <row r="154" spans="1:12" ht="72" customHeight="1">
      <c r="A154" s="4" t="s">
        <v>744</v>
      </c>
      <c r="B154" s="4" t="s">
        <v>745</v>
      </c>
      <c r="C154" s="4" t="s">
        <v>746</v>
      </c>
      <c r="D154" s="4" t="s">
        <v>42</v>
      </c>
      <c r="E154" s="4" t="s">
        <v>33</v>
      </c>
      <c r="F154" s="4" t="s">
        <v>33</v>
      </c>
      <c r="G154" s="4" t="s">
        <v>747</v>
      </c>
      <c r="H154" s="4" t="s">
        <v>748</v>
      </c>
      <c r="I154" s="4" t="s">
        <v>749</v>
      </c>
      <c r="J154" s="4" t="s">
        <v>750</v>
      </c>
      <c r="K154" s="4" t="s">
        <v>751</v>
      </c>
      <c r="L154" s="6" t="s">
        <v>147</v>
      </c>
    </row>
    <row r="155" spans="1:12" ht="72" customHeight="1">
      <c r="A155" s="4" t="s">
        <v>752</v>
      </c>
      <c r="B155" s="4" t="s">
        <v>745</v>
      </c>
      <c r="C155" s="4" t="s">
        <v>753</v>
      </c>
      <c r="D155" s="4" t="s">
        <v>42</v>
      </c>
      <c r="E155" s="4" t="s">
        <v>33</v>
      </c>
      <c r="F155" s="4" t="s">
        <v>33</v>
      </c>
      <c r="G155" s="4" t="s">
        <v>747</v>
      </c>
      <c r="H155" s="4" t="s">
        <v>748</v>
      </c>
      <c r="I155" s="4" t="s">
        <v>749</v>
      </c>
      <c r="J155" s="4" t="s">
        <v>754</v>
      </c>
      <c r="K155" s="4" t="s">
        <v>755</v>
      </c>
      <c r="L155" s="6" t="s">
        <v>159</v>
      </c>
    </row>
    <row r="156" spans="1:12" ht="72" customHeight="1">
      <c r="A156" s="4" t="s">
        <v>756</v>
      </c>
      <c r="B156" s="4" t="s">
        <v>745</v>
      </c>
      <c r="C156" s="4" t="s">
        <v>757</v>
      </c>
      <c r="D156" s="4" t="s">
        <v>42</v>
      </c>
      <c r="E156" s="4" t="s">
        <v>33</v>
      </c>
      <c r="F156" s="4" t="s">
        <v>33</v>
      </c>
      <c r="G156" s="4" t="s">
        <v>747</v>
      </c>
      <c r="H156" s="4" t="s">
        <v>748</v>
      </c>
      <c r="I156" s="4" t="s">
        <v>749</v>
      </c>
      <c r="J156" s="4" t="s">
        <v>758</v>
      </c>
      <c r="K156" s="4" t="s">
        <v>759</v>
      </c>
      <c r="L156" s="6" t="s">
        <v>88</v>
      </c>
    </row>
    <row r="157" spans="1:12" ht="72" customHeight="1">
      <c r="A157" s="4" t="s">
        <v>760</v>
      </c>
      <c r="B157" s="4" t="s">
        <v>745</v>
      </c>
      <c r="C157" s="4" t="s">
        <v>761</v>
      </c>
      <c r="D157" s="4" t="s">
        <v>42</v>
      </c>
      <c r="E157" s="4" t="s">
        <v>33</v>
      </c>
      <c r="F157" s="4" t="s">
        <v>33</v>
      </c>
      <c r="G157" s="4" t="s">
        <v>747</v>
      </c>
      <c r="H157" s="4" t="s">
        <v>748</v>
      </c>
      <c r="I157" s="4" t="s">
        <v>749</v>
      </c>
      <c r="J157" s="4" t="s">
        <v>762</v>
      </c>
      <c r="K157" s="4" t="s">
        <v>755</v>
      </c>
      <c r="L157" s="6" t="s">
        <v>165</v>
      </c>
    </row>
    <row r="158" spans="1:12" ht="72" customHeight="1">
      <c r="A158" s="4" t="s">
        <v>763</v>
      </c>
      <c r="B158" s="4" t="s">
        <v>764</v>
      </c>
      <c r="C158" s="4" t="s">
        <v>765</v>
      </c>
      <c r="D158" s="4" t="s">
        <v>42</v>
      </c>
      <c r="E158" s="4" t="s">
        <v>33</v>
      </c>
      <c r="F158" s="4" t="s">
        <v>33</v>
      </c>
      <c r="G158" s="4" t="s">
        <v>766</v>
      </c>
      <c r="H158" s="4" t="s">
        <v>767</v>
      </c>
      <c r="I158" s="4" t="s">
        <v>768</v>
      </c>
      <c r="J158" s="4" t="s">
        <v>769</v>
      </c>
      <c r="K158" s="4" t="s">
        <v>770</v>
      </c>
      <c r="L158" s="6" t="s">
        <v>147</v>
      </c>
    </row>
    <row r="159" spans="1:12" ht="72" customHeight="1">
      <c r="A159" s="4" t="s">
        <v>771</v>
      </c>
      <c r="B159" s="4" t="s">
        <v>764</v>
      </c>
      <c r="C159" s="4" t="s">
        <v>772</v>
      </c>
      <c r="D159" s="4" t="s">
        <v>42</v>
      </c>
      <c r="E159" s="4" t="s">
        <v>33</v>
      </c>
      <c r="F159" s="4" t="s">
        <v>33</v>
      </c>
      <c r="G159" s="4" t="s">
        <v>766</v>
      </c>
      <c r="H159" s="4" t="s">
        <v>767</v>
      </c>
      <c r="I159" s="4" t="s">
        <v>768</v>
      </c>
      <c r="J159" s="4" t="s">
        <v>773</v>
      </c>
      <c r="K159" s="4" t="s">
        <v>770</v>
      </c>
      <c r="L159" s="6" t="s">
        <v>88</v>
      </c>
    </row>
    <row r="160" spans="1:12" ht="72" customHeight="1">
      <c r="A160" s="4" t="s">
        <v>774</v>
      </c>
      <c r="B160" s="4" t="s">
        <v>764</v>
      </c>
      <c r="C160" s="4" t="s">
        <v>775</v>
      </c>
      <c r="D160" s="4" t="s">
        <v>42</v>
      </c>
      <c r="E160" s="4" t="s">
        <v>33</v>
      </c>
      <c r="F160" s="4" t="s">
        <v>33</v>
      </c>
      <c r="G160" s="4" t="s">
        <v>766</v>
      </c>
      <c r="H160" s="4" t="s">
        <v>767</v>
      </c>
      <c r="I160" s="4" t="s">
        <v>768</v>
      </c>
      <c r="J160" s="4" t="s">
        <v>776</v>
      </c>
      <c r="K160" s="4" t="s">
        <v>770</v>
      </c>
      <c r="L160" s="6" t="s">
        <v>95</v>
      </c>
    </row>
    <row r="161" spans="1:12" ht="72" customHeight="1">
      <c r="A161" s="4" t="s">
        <v>777</v>
      </c>
      <c r="B161" s="4" t="s">
        <v>764</v>
      </c>
      <c r="C161" s="4" t="s">
        <v>778</v>
      </c>
      <c r="D161" s="4" t="s">
        <v>42</v>
      </c>
      <c r="E161" s="4" t="s">
        <v>33</v>
      </c>
      <c r="F161" s="4" t="s">
        <v>33</v>
      </c>
      <c r="G161" s="4" t="s">
        <v>766</v>
      </c>
      <c r="H161" s="4" t="s">
        <v>767</v>
      </c>
      <c r="I161" s="4" t="s">
        <v>768</v>
      </c>
      <c r="J161" s="4" t="s">
        <v>779</v>
      </c>
      <c r="K161" s="4" t="s">
        <v>770</v>
      </c>
      <c r="L161" s="6" t="s">
        <v>116</v>
      </c>
    </row>
    <row r="162" spans="1:12" ht="72" customHeight="1">
      <c r="A162" s="4" t="s">
        <v>780</v>
      </c>
      <c r="B162" s="4" t="s">
        <v>781</v>
      </c>
      <c r="C162" s="4" t="s">
        <v>782</v>
      </c>
      <c r="D162" s="4" t="s">
        <v>42</v>
      </c>
      <c r="E162" s="4" t="s">
        <v>33</v>
      </c>
      <c r="F162" s="4" t="s">
        <v>33</v>
      </c>
      <c r="G162" s="4" t="s">
        <v>783</v>
      </c>
      <c r="H162" s="4" t="s">
        <v>784</v>
      </c>
      <c r="I162" s="4" t="s">
        <v>785</v>
      </c>
      <c r="J162" s="4" t="s">
        <v>786</v>
      </c>
      <c r="K162" s="4" t="s">
        <v>787</v>
      </c>
      <c r="L162" s="6" t="s">
        <v>88</v>
      </c>
    </row>
    <row r="163" spans="1:12" ht="72" customHeight="1">
      <c r="A163" s="4" t="s">
        <v>788</v>
      </c>
      <c r="B163" s="4" t="s">
        <v>781</v>
      </c>
      <c r="C163" s="4" t="s">
        <v>789</v>
      </c>
      <c r="D163" s="4" t="s">
        <v>42</v>
      </c>
      <c r="E163" s="4" t="s">
        <v>33</v>
      </c>
      <c r="F163" s="4" t="s">
        <v>33</v>
      </c>
      <c r="G163" s="4" t="s">
        <v>783</v>
      </c>
      <c r="H163" s="4" t="s">
        <v>784</v>
      </c>
      <c r="I163" s="4" t="s">
        <v>785</v>
      </c>
      <c r="J163" s="4" t="s">
        <v>790</v>
      </c>
      <c r="K163" s="4" t="s">
        <v>787</v>
      </c>
      <c r="L163" s="6" t="s">
        <v>518</v>
      </c>
    </row>
    <row r="164" spans="1:12" ht="72" customHeight="1">
      <c r="A164" s="4" t="s">
        <v>791</v>
      </c>
      <c r="B164" s="4" t="s">
        <v>781</v>
      </c>
      <c r="C164" s="4" t="s">
        <v>792</v>
      </c>
      <c r="D164" s="4" t="s">
        <v>42</v>
      </c>
      <c r="E164" s="4" t="s">
        <v>33</v>
      </c>
      <c r="F164" s="4" t="s">
        <v>33</v>
      </c>
      <c r="G164" s="4" t="s">
        <v>783</v>
      </c>
      <c r="H164" s="4" t="s">
        <v>784</v>
      </c>
      <c r="I164" s="4" t="s">
        <v>785</v>
      </c>
      <c r="J164" s="4" t="s">
        <v>793</v>
      </c>
      <c r="K164" s="4" t="s">
        <v>787</v>
      </c>
      <c r="L164" s="6" t="s">
        <v>153</v>
      </c>
    </row>
    <row r="165" spans="1:12" ht="72" customHeight="1">
      <c r="A165" s="4" t="s">
        <v>794</v>
      </c>
      <c r="B165" s="4" t="s">
        <v>781</v>
      </c>
      <c r="C165" s="4" t="s">
        <v>795</v>
      </c>
      <c r="D165" s="4" t="s">
        <v>42</v>
      </c>
      <c r="E165" s="4" t="s">
        <v>33</v>
      </c>
      <c r="F165" s="4" t="s">
        <v>33</v>
      </c>
      <c r="G165" s="4" t="s">
        <v>783</v>
      </c>
      <c r="H165" s="4" t="s">
        <v>784</v>
      </c>
      <c r="I165" s="4" t="s">
        <v>785</v>
      </c>
      <c r="J165" s="4" t="s">
        <v>796</v>
      </c>
      <c r="K165" s="4" t="s">
        <v>787</v>
      </c>
      <c r="L165" s="6" t="s">
        <v>518</v>
      </c>
    </row>
    <row r="166" spans="1:12" ht="72" customHeight="1">
      <c r="A166" s="4" t="s">
        <v>797</v>
      </c>
      <c r="B166" s="4" t="s">
        <v>798</v>
      </c>
      <c r="C166" s="4" t="s">
        <v>799</v>
      </c>
      <c r="D166" s="4" t="s">
        <v>42</v>
      </c>
      <c r="E166" s="4" t="s">
        <v>33</v>
      </c>
      <c r="F166" s="4" t="s">
        <v>33</v>
      </c>
      <c r="G166" s="4" t="s">
        <v>800</v>
      </c>
      <c r="H166" s="4" t="s">
        <v>801</v>
      </c>
      <c r="I166" s="4" t="s">
        <v>802</v>
      </c>
      <c r="J166" s="4" t="s">
        <v>803</v>
      </c>
      <c r="K166" s="4" t="s">
        <v>804</v>
      </c>
      <c r="L166" s="6" t="s">
        <v>141</v>
      </c>
    </row>
    <row r="167" spans="1:12" ht="72" customHeight="1">
      <c r="A167" s="4" t="s">
        <v>805</v>
      </c>
      <c r="B167" s="4" t="s">
        <v>798</v>
      </c>
      <c r="C167" s="4" t="s">
        <v>806</v>
      </c>
      <c r="D167" s="4" t="s">
        <v>42</v>
      </c>
      <c r="E167" s="4" t="s">
        <v>33</v>
      </c>
      <c r="F167" s="4" t="s">
        <v>33</v>
      </c>
      <c r="G167" s="4" t="s">
        <v>800</v>
      </c>
      <c r="H167" s="4" t="s">
        <v>801</v>
      </c>
      <c r="I167" s="4" t="s">
        <v>802</v>
      </c>
      <c r="J167" s="4" t="s">
        <v>807</v>
      </c>
      <c r="K167" s="4" t="s">
        <v>808</v>
      </c>
      <c r="L167" s="6" t="s">
        <v>147</v>
      </c>
    </row>
    <row r="168" spans="1:12" ht="72" customHeight="1">
      <c r="A168" s="4" t="s">
        <v>809</v>
      </c>
      <c r="B168" s="4" t="s">
        <v>798</v>
      </c>
      <c r="C168" s="4" t="s">
        <v>810</v>
      </c>
      <c r="D168" s="4" t="s">
        <v>42</v>
      </c>
      <c r="E168" s="4" t="s">
        <v>33</v>
      </c>
      <c r="F168" s="4" t="s">
        <v>33</v>
      </c>
      <c r="G168" s="4" t="s">
        <v>800</v>
      </c>
      <c r="H168" s="4" t="s">
        <v>801</v>
      </c>
      <c r="I168" s="4" t="s">
        <v>802</v>
      </c>
      <c r="J168" s="4" t="s">
        <v>811</v>
      </c>
      <c r="K168" s="4" t="s">
        <v>808</v>
      </c>
      <c r="L168" s="6" t="s">
        <v>153</v>
      </c>
    </row>
    <row r="169" spans="1:12" ht="72" customHeight="1">
      <c r="A169" s="4" t="s">
        <v>812</v>
      </c>
      <c r="B169" s="4" t="s">
        <v>798</v>
      </c>
      <c r="C169" s="4" t="s">
        <v>813</v>
      </c>
      <c r="D169" s="4" t="s">
        <v>42</v>
      </c>
      <c r="E169" s="4" t="s">
        <v>33</v>
      </c>
      <c r="F169" s="4" t="s">
        <v>33</v>
      </c>
      <c r="G169" s="4" t="s">
        <v>800</v>
      </c>
      <c r="H169" s="4" t="s">
        <v>801</v>
      </c>
      <c r="I169" s="4" t="s">
        <v>802</v>
      </c>
      <c r="J169" s="4" t="s">
        <v>814</v>
      </c>
      <c r="K169" s="4" t="s">
        <v>815</v>
      </c>
      <c r="L169" s="6" t="s">
        <v>88</v>
      </c>
    </row>
    <row r="170" spans="1:12" ht="72" customHeight="1">
      <c r="A170" s="4" t="s">
        <v>816</v>
      </c>
      <c r="B170" s="4" t="s">
        <v>798</v>
      </c>
      <c r="C170" s="4" t="s">
        <v>817</v>
      </c>
      <c r="D170" s="4" t="s">
        <v>42</v>
      </c>
      <c r="E170" s="4" t="s">
        <v>33</v>
      </c>
      <c r="F170" s="4" t="s">
        <v>33</v>
      </c>
      <c r="G170" s="4" t="s">
        <v>800</v>
      </c>
      <c r="H170" s="4" t="s">
        <v>801</v>
      </c>
      <c r="I170" s="4" t="s">
        <v>802</v>
      </c>
      <c r="J170" s="4" t="s">
        <v>818</v>
      </c>
      <c r="K170" s="4" t="s">
        <v>819</v>
      </c>
      <c r="L170" s="6" t="s">
        <v>88</v>
      </c>
    </row>
    <row r="171" spans="1:12" ht="72" customHeight="1">
      <c r="A171" s="4" t="s">
        <v>820</v>
      </c>
      <c r="B171" s="4" t="s">
        <v>798</v>
      </c>
      <c r="C171" s="4" t="s">
        <v>821</v>
      </c>
      <c r="D171" s="4" t="s">
        <v>42</v>
      </c>
      <c r="E171" s="4" t="s">
        <v>33</v>
      </c>
      <c r="F171" s="4" t="s">
        <v>33</v>
      </c>
      <c r="G171" s="4" t="s">
        <v>800</v>
      </c>
      <c r="H171" s="4" t="s">
        <v>801</v>
      </c>
      <c r="I171" s="4" t="s">
        <v>802</v>
      </c>
      <c r="J171" s="4" t="s">
        <v>822</v>
      </c>
      <c r="K171" s="4" t="s">
        <v>823</v>
      </c>
      <c r="L171" s="6" t="s">
        <v>103</v>
      </c>
    </row>
    <row r="172" spans="1:12" ht="72" customHeight="1">
      <c r="A172" s="4" t="s">
        <v>824</v>
      </c>
      <c r="B172" s="4" t="s">
        <v>825</v>
      </c>
      <c r="C172" s="4" t="s">
        <v>826</v>
      </c>
      <c r="D172" s="4" t="s">
        <v>42</v>
      </c>
      <c r="E172" s="4" t="s">
        <v>33</v>
      </c>
      <c r="F172" s="4" t="s">
        <v>33</v>
      </c>
      <c r="G172" s="4" t="s">
        <v>827</v>
      </c>
      <c r="H172" s="4" t="s">
        <v>828</v>
      </c>
      <c r="I172" s="4" t="s">
        <v>829</v>
      </c>
      <c r="J172" s="4" t="s">
        <v>830</v>
      </c>
      <c r="K172" s="4" t="s">
        <v>831</v>
      </c>
      <c r="L172" s="6" t="s">
        <v>147</v>
      </c>
    </row>
    <row r="173" spans="1:12" ht="72" customHeight="1">
      <c r="A173" s="4" t="s">
        <v>832</v>
      </c>
      <c r="B173" s="4" t="s">
        <v>825</v>
      </c>
      <c r="C173" s="4" t="s">
        <v>833</v>
      </c>
      <c r="D173" s="4" t="s">
        <v>42</v>
      </c>
      <c r="E173" s="4" t="s">
        <v>33</v>
      </c>
      <c r="F173" s="4" t="s">
        <v>33</v>
      </c>
      <c r="G173" s="4" t="s">
        <v>827</v>
      </c>
      <c r="H173" s="4" t="s">
        <v>828</v>
      </c>
      <c r="I173" s="4" t="s">
        <v>829</v>
      </c>
      <c r="J173" s="4" t="s">
        <v>834</v>
      </c>
      <c r="K173" s="4" t="s">
        <v>831</v>
      </c>
      <c r="L173" s="6" t="s">
        <v>159</v>
      </c>
    </row>
    <row r="174" spans="1:12" ht="72" customHeight="1">
      <c r="A174" s="4" t="s">
        <v>835</v>
      </c>
      <c r="B174" s="4" t="s">
        <v>825</v>
      </c>
      <c r="C174" s="4" t="s">
        <v>836</v>
      </c>
      <c r="D174" s="4" t="s">
        <v>42</v>
      </c>
      <c r="E174" s="4" t="s">
        <v>33</v>
      </c>
      <c r="F174" s="4" t="s">
        <v>33</v>
      </c>
      <c r="G174" s="4" t="s">
        <v>827</v>
      </c>
      <c r="H174" s="4" t="s">
        <v>828</v>
      </c>
      <c r="I174" s="4" t="s">
        <v>829</v>
      </c>
      <c r="J174" s="4" t="s">
        <v>837</v>
      </c>
      <c r="K174" s="4" t="s">
        <v>831</v>
      </c>
      <c r="L174" s="6" t="s">
        <v>153</v>
      </c>
    </row>
    <row r="175" spans="1:12" ht="72" customHeight="1">
      <c r="A175" s="4" t="s">
        <v>838</v>
      </c>
      <c r="B175" s="4" t="s">
        <v>825</v>
      </c>
      <c r="C175" s="4" t="s">
        <v>839</v>
      </c>
      <c r="D175" s="4" t="s">
        <v>42</v>
      </c>
      <c r="E175" s="4" t="s">
        <v>33</v>
      </c>
      <c r="F175" s="4" t="s">
        <v>33</v>
      </c>
      <c r="G175" s="4" t="s">
        <v>827</v>
      </c>
      <c r="H175" s="4" t="s">
        <v>828</v>
      </c>
      <c r="I175" s="4" t="s">
        <v>829</v>
      </c>
      <c r="J175" s="4" t="s">
        <v>840</v>
      </c>
      <c r="K175" s="4" t="s">
        <v>831</v>
      </c>
      <c r="L175" s="6" t="s">
        <v>153</v>
      </c>
    </row>
    <row r="176" spans="1:12" ht="72" customHeight="1">
      <c r="A176" s="4" t="s">
        <v>841</v>
      </c>
      <c r="B176" s="4" t="s">
        <v>825</v>
      </c>
      <c r="C176" s="4" t="s">
        <v>842</v>
      </c>
      <c r="D176" s="4" t="s">
        <v>42</v>
      </c>
      <c r="E176" s="4" t="s">
        <v>33</v>
      </c>
      <c r="F176" s="4" t="s">
        <v>33</v>
      </c>
      <c r="G176" s="4" t="s">
        <v>827</v>
      </c>
      <c r="H176" s="4" t="s">
        <v>828</v>
      </c>
      <c r="I176" s="4" t="s">
        <v>829</v>
      </c>
      <c r="J176" s="4" t="s">
        <v>843</v>
      </c>
      <c r="K176" s="4" t="s">
        <v>831</v>
      </c>
      <c r="L176" s="6" t="s">
        <v>165</v>
      </c>
    </row>
    <row r="177" spans="1:12" ht="72" customHeight="1">
      <c r="A177" s="4" t="s">
        <v>844</v>
      </c>
      <c r="B177" s="4" t="s">
        <v>825</v>
      </c>
      <c r="C177" s="4" t="s">
        <v>845</v>
      </c>
      <c r="D177" s="4" t="s">
        <v>42</v>
      </c>
      <c r="E177" s="4" t="s">
        <v>33</v>
      </c>
      <c r="F177" s="4" t="s">
        <v>33</v>
      </c>
      <c r="G177" s="4" t="s">
        <v>827</v>
      </c>
      <c r="H177" s="4" t="s">
        <v>828</v>
      </c>
      <c r="I177" s="4" t="s">
        <v>829</v>
      </c>
      <c r="J177" s="4" t="s">
        <v>846</v>
      </c>
      <c r="K177" s="4" t="s">
        <v>831</v>
      </c>
      <c r="L177" s="6" t="s">
        <v>153</v>
      </c>
    </row>
    <row r="178" spans="1:12" ht="72" customHeight="1">
      <c r="A178" s="4" t="s">
        <v>847</v>
      </c>
      <c r="B178" s="4" t="s">
        <v>825</v>
      </c>
      <c r="C178" s="4" t="s">
        <v>848</v>
      </c>
      <c r="D178" s="4" t="s">
        <v>42</v>
      </c>
      <c r="E178" s="4" t="s">
        <v>33</v>
      </c>
      <c r="F178" s="4" t="s">
        <v>33</v>
      </c>
      <c r="G178" s="4" t="s">
        <v>827</v>
      </c>
      <c r="H178" s="4" t="s">
        <v>828</v>
      </c>
      <c r="I178" s="4" t="s">
        <v>829</v>
      </c>
      <c r="J178" s="4" t="s">
        <v>849</v>
      </c>
      <c r="K178" s="4" t="s">
        <v>831</v>
      </c>
      <c r="L178" s="6" t="s">
        <v>88</v>
      </c>
    </row>
    <row r="179" spans="1:12" ht="72" customHeight="1">
      <c r="A179" s="4" t="s">
        <v>850</v>
      </c>
      <c r="B179" s="4" t="s">
        <v>851</v>
      </c>
      <c r="C179" s="4" t="s">
        <v>852</v>
      </c>
      <c r="D179" s="4" t="s">
        <v>42</v>
      </c>
      <c r="E179" s="4" t="s">
        <v>33</v>
      </c>
      <c r="F179" s="4" t="s">
        <v>33</v>
      </c>
      <c r="G179" s="4" t="s">
        <v>853</v>
      </c>
      <c r="H179" s="4" t="s">
        <v>854</v>
      </c>
      <c r="I179" s="4" t="s">
        <v>855</v>
      </c>
      <c r="J179" s="4" t="s">
        <v>856</v>
      </c>
      <c r="K179" s="4" t="s">
        <v>857</v>
      </c>
      <c r="L179" s="6" t="s">
        <v>159</v>
      </c>
    </row>
    <row r="180" spans="1:12" ht="72" customHeight="1">
      <c r="A180" s="4" t="s">
        <v>858</v>
      </c>
      <c r="B180" s="4" t="s">
        <v>851</v>
      </c>
      <c r="C180" s="4" t="s">
        <v>859</v>
      </c>
      <c r="D180" s="4" t="s">
        <v>42</v>
      </c>
      <c r="E180" s="4" t="s">
        <v>33</v>
      </c>
      <c r="F180" s="4" t="s">
        <v>33</v>
      </c>
      <c r="G180" s="4" t="s">
        <v>853</v>
      </c>
      <c r="H180" s="4" t="s">
        <v>854</v>
      </c>
      <c r="I180" s="4" t="s">
        <v>855</v>
      </c>
      <c r="J180" s="4" t="s">
        <v>860</v>
      </c>
      <c r="K180" s="4" t="s">
        <v>861</v>
      </c>
      <c r="L180" s="6" t="s">
        <v>88</v>
      </c>
    </row>
    <row r="181" spans="1:12" ht="72" customHeight="1">
      <c r="A181" s="4" t="s">
        <v>862</v>
      </c>
      <c r="B181" s="4" t="s">
        <v>851</v>
      </c>
      <c r="C181" s="4" t="s">
        <v>863</v>
      </c>
      <c r="D181" s="4" t="s">
        <v>42</v>
      </c>
      <c r="E181" s="4" t="s">
        <v>33</v>
      </c>
      <c r="F181" s="4" t="s">
        <v>33</v>
      </c>
      <c r="G181" s="4" t="s">
        <v>853</v>
      </c>
      <c r="H181" s="4" t="s">
        <v>854</v>
      </c>
      <c r="I181" s="4" t="s">
        <v>855</v>
      </c>
      <c r="J181" s="4" t="s">
        <v>864</v>
      </c>
      <c r="K181" s="4" t="s">
        <v>865</v>
      </c>
      <c r="L181" s="6" t="s">
        <v>88</v>
      </c>
    </row>
    <row r="182" spans="1:12" ht="72" customHeight="1">
      <c r="A182" s="4" t="s">
        <v>866</v>
      </c>
      <c r="B182" s="4" t="s">
        <v>851</v>
      </c>
      <c r="C182" s="4" t="s">
        <v>867</v>
      </c>
      <c r="D182" s="4" t="s">
        <v>42</v>
      </c>
      <c r="E182" s="4" t="s">
        <v>33</v>
      </c>
      <c r="F182" s="4" t="s">
        <v>33</v>
      </c>
      <c r="G182" s="4" t="s">
        <v>853</v>
      </c>
      <c r="H182" s="4" t="s">
        <v>854</v>
      </c>
      <c r="I182" s="4" t="s">
        <v>855</v>
      </c>
      <c r="J182" s="4" t="s">
        <v>868</v>
      </c>
      <c r="K182" s="4" t="s">
        <v>865</v>
      </c>
      <c r="L182" s="6" t="s">
        <v>88</v>
      </c>
    </row>
    <row r="183" spans="1:12" ht="72" customHeight="1">
      <c r="A183" s="4" t="s">
        <v>869</v>
      </c>
      <c r="B183" s="4" t="s">
        <v>851</v>
      </c>
      <c r="C183" s="4" t="s">
        <v>870</v>
      </c>
      <c r="D183" s="4" t="s">
        <v>42</v>
      </c>
      <c r="E183" s="4" t="s">
        <v>33</v>
      </c>
      <c r="F183" s="4" t="s">
        <v>33</v>
      </c>
      <c r="G183" s="4" t="s">
        <v>853</v>
      </c>
      <c r="H183" s="4" t="s">
        <v>854</v>
      </c>
      <c r="I183" s="4" t="s">
        <v>855</v>
      </c>
      <c r="J183" s="4" t="s">
        <v>871</v>
      </c>
      <c r="K183" s="4" t="s">
        <v>865</v>
      </c>
      <c r="L183" s="6" t="s">
        <v>95</v>
      </c>
    </row>
    <row r="184" spans="1:12" ht="72" customHeight="1">
      <c r="A184" s="4" t="s">
        <v>872</v>
      </c>
      <c r="B184" s="4" t="s">
        <v>851</v>
      </c>
      <c r="C184" s="4" t="s">
        <v>873</v>
      </c>
      <c r="D184" s="4" t="s">
        <v>42</v>
      </c>
      <c r="E184" s="4" t="s">
        <v>33</v>
      </c>
      <c r="F184" s="4" t="s">
        <v>33</v>
      </c>
      <c r="G184" s="4" t="s">
        <v>853</v>
      </c>
      <c r="H184" s="4" t="s">
        <v>854</v>
      </c>
      <c r="I184" s="4" t="s">
        <v>855</v>
      </c>
      <c r="J184" s="4" t="s">
        <v>874</v>
      </c>
      <c r="K184" s="4" t="s">
        <v>865</v>
      </c>
      <c r="L184" s="6" t="s">
        <v>165</v>
      </c>
    </row>
    <row r="185" spans="1:12" ht="72" customHeight="1">
      <c r="A185" s="4" t="s">
        <v>875</v>
      </c>
      <c r="B185" s="4" t="s">
        <v>851</v>
      </c>
      <c r="C185" s="4" t="s">
        <v>876</v>
      </c>
      <c r="D185" s="4" t="s">
        <v>42</v>
      </c>
      <c r="E185" s="4" t="s">
        <v>33</v>
      </c>
      <c r="F185" s="4" t="s">
        <v>33</v>
      </c>
      <c r="G185" s="4" t="s">
        <v>853</v>
      </c>
      <c r="H185" s="4" t="s">
        <v>854</v>
      </c>
      <c r="I185" s="4" t="s">
        <v>855</v>
      </c>
      <c r="J185" s="4" t="s">
        <v>877</v>
      </c>
      <c r="K185" s="4" t="s">
        <v>878</v>
      </c>
      <c r="L185" s="6" t="s">
        <v>408</v>
      </c>
    </row>
    <row r="186" spans="1:12" ht="72" customHeight="1">
      <c r="A186" s="4" t="s">
        <v>879</v>
      </c>
      <c r="B186" s="4" t="s">
        <v>851</v>
      </c>
      <c r="C186" s="4" t="s">
        <v>880</v>
      </c>
      <c r="D186" s="4" t="s">
        <v>42</v>
      </c>
      <c r="E186" s="4" t="s">
        <v>33</v>
      </c>
      <c r="F186" s="4" t="s">
        <v>33</v>
      </c>
      <c r="G186" s="4" t="s">
        <v>853</v>
      </c>
      <c r="H186" s="4" t="s">
        <v>854</v>
      </c>
      <c r="I186" s="4" t="s">
        <v>855</v>
      </c>
      <c r="J186" s="4" t="s">
        <v>881</v>
      </c>
      <c r="K186" s="4" t="s">
        <v>865</v>
      </c>
      <c r="L186" s="6" t="s">
        <v>153</v>
      </c>
    </row>
    <row r="187" spans="1:12" ht="72" customHeight="1">
      <c r="A187" s="4" t="s">
        <v>882</v>
      </c>
      <c r="B187" s="4" t="s">
        <v>851</v>
      </c>
      <c r="C187" s="4" t="s">
        <v>883</v>
      </c>
      <c r="D187" s="4" t="s">
        <v>42</v>
      </c>
      <c r="E187" s="4" t="s">
        <v>33</v>
      </c>
      <c r="F187" s="4" t="s">
        <v>33</v>
      </c>
      <c r="G187" s="4" t="s">
        <v>853</v>
      </c>
      <c r="H187" s="4" t="s">
        <v>854</v>
      </c>
      <c r="I187" s="4" t="s">
        <v>855</v>
      </c>
      <c r="J187" s="4" t="s">
        <v>884</v>
      </c>
      <c r="K187" s="4" t="s">
        <v>885</v>
      </c>
      <c r="L187" s="6" t="s">
        <v>103</v>
      </c>
    </row>
    <row r="188" spans="1:12" ht="72" customHeight="1">
      <c r="A188" s="4" t="s">
        <v>886</v>
      </c>
      <c r="B188" s="4" t="s">
        <v>887</v>
      </c>
      <c r="C188" s="4" t="s">
        <v>888</v>
      </c>
      <c r="D188" s="4" t="s">
        <v>42</v>
      </c>
      <c r="E188" s="4" t="s">
        <v>33</v>
      </c>
      <c r="F188" s="4" t="s">
        <v>33</v>
      </c>
      <c r="G188" s="4" t="s">
        <v>889</v>
      </c>
      <c r="H188" s="4" t="s">
        <v>889</v>
      </c>
      <c r="I188" s="4" t="s">
        <v>890</v>
      </c>
      <c r="J188" s="4" t="s">
        <v>891</v>
      </c>
      <c r="K188" s="4" t="s">
        <v>892</v>
      </c>
      <c r="L188" s="6" t="s">
        <v>39</v>
      </c>
    </row>
    <row r="189" spans="1:12" ht="72" customHeight="1">
      <c r="A189" s="4" t="s">
        <v>893</v>
      </c>
      <c r="B189" s="4" t="s">
        <v>887</v>
      </c>
      <c r="C189" s="4" t="s">
        <v>894</v>
      </c>
      <c r="D189" s="4" t="s">
        <v>42</v>
      </c>
      <c r="E189" s="4" t="s">
        <v>33</v>
      </c>
      <c r="F189" s="4" t="s">
        <v>33</v>
      </c>
      <c r="G189" s="4" t="s">
        <v>889</v>
      </c>
      <c r="H189" s="4" t="s">
        <v>889</v>
      </c>
      <c r="I189" s="4" t="s">
        <v>890</v>
      </c>
      <c r="J189" s="4" t="s">
        <v>895</v>
      </c>
      <c r="K189" s="4" t="s">
        <v>896</v>
      </c>
      <c r="L189" s="6" t="s">
        <v>669</v>
      </c>
    </row>
    <row r="190" spans="1:12" ht="72" customHeight="1">
      <c r="A190" s="4" t="s">
        <v>897</v>
      </c>
      <c r="B190" s="4" t="s">
        <v>887</v>
      </c>
      <c r="C190" s="4" t="s">
        <v>898</v>
      </c>
      <c r="D190" s="4" t="s">
        <v>42</v>
      </c>
      <c r="E190" s="4" t="s">
        <v>33</v>
      </c>
      <c r="F190" s="4" t="s">
        <v>33</v>
      </c>
      <c r="G190" s="4" t="s">
        <v>889</v>
      </c>
      <c r="H190" s="4" t="s">
        <v>889</v>
      </c>
      <c r="I190" s="4" t="s">
        <v>890</v>
      </c>
      <c r="J190" s="4" t="s">
        <v>899</v>
      </c>
      <c r="K190" s="4" t="s">
        <v>900</v>
      </c>
      <c r="L190" s="6" t="s">
        <v>518</v>
      </c>
    </row>
    <row r="191" spans="1:12" ht="72" customHeight="1">
      <c r="A191" s="4" t="s">
        <v>901</v>
      </c>
      <c r="B191" s="4" t="s">
        <v>887</v>
      </c>
      <c r="C191" s="4" t="s">
        <v>902</v>
      </c>
      <c r="D191" s="4" t="s">
        <v>42</v>
      </c>
      <c r="E191" s="4" t="s">
        <v>33</v>
      </c>
      <c r="F191" s="4" t="s">
        <v>33</v>
      </c>
      <c r="G191" s="4" t="s">
        <v>889</v>
      </c>
      <c r="H191" s="4" t="s">
        <v>889</v>
      </c>
      <c r="I191" s="4" t="s">
        <v>890</v>
      </c>
      <c r="J191" s="4" t="s">
        <v>903</v>
      </c>
      <c r="K191" s="4" t="s">
        <v>904</v>
      </c>
      <c r="L191" s="6" t="s">
        <v>88</v>
      </c>
    </row>
    <row r="192" spans="1:12" ht="72" customHeight="1">
      <c r="A192" s="4" t="s">
        <v>905</v>
      </c>
      <c r="B192" s="4" t="s">
        <v>887</v>
      </c>
      <c r="C192" s="4" t="s">
        <v>906</v>
      </c>
      <c r="D192" s="4" t="s">
        <v>42</v>
      </c>
      <c r="E192" s="4" t="s">
        <v>33</v>
      </c>
      <c r="F192" s="4" t="s">
        <v>33</v>
      </c>
      <c r="G192" s="4" t="s">
        <v>889</v>
      </c>
      <c r="H192" s="4" t="s">
        <v>889</v>
      </c>
      <c r="I192" s="4" t="s">
        <v>890</v>
      </c>
      <c r="J192" s="4" t="s">
        <v>907</v>
      </c>
      <c r="K192" s="4" t="s">
        <v>904</v>
      </c>
      <c r="L192" s="6" t="s">
        <v>153</v>
      </c>
    </row>
    <row r="193" spans="1:12" ht="72" customHeight="1">
      <c r="A193" s="4" t="s">
        <v>908</v>
      </c>
      <c r="B193" s="4" t="s">
        <v>887</v>
      </c>
      <c r="C193" s="4" t="s">
        <v>909</v>
      </c>
      <c r="D193" s="4" t="s">
        <v>42</v>
      </c>
      <c r="E193" s="4" t="s">
        <v>33</v>
      </c>
      <c r="F193" s="4" t="s">
        <v>33</v>
      </c>
      <c r="G193" s="4" t="s">
        <v>889</v>
      </c>
      <c r="H193" s="4" t="s">
        <v>889</v>
      </c>
      <c r="I193" s="4" t="s">
        <v>890</v>
      </c>
      <c r="J193" s="4" t="s">
        <v>910</v>
      </c>
      <c r="K193" s="4" t="s">
        <v>911</v>
      </c>
      <c r="L193" s="6" t="s">
        <v>408</v>
      </c>
    </row>
    <row r="194" spans="1:12" ht="72" customHeight="1">
      <c r="A194" s="4" t="s">
        <v>912</v>
      </c>
      <c r="B194" s="4" t="s">
        <v>887</v>
      </c>
      <c r="C194" s="4" t="s">
        <v>913</v>
      </c>
      <c r="D194" s="4" t="s">
        <v>42</v>
      </c>
      <c r="E194" s="4" t="s">
        <v>33</v>
      </c>
      <c r="F194" s="4" t="s">
        <v>33</v>
      </c>
      <c r="G194" s="4" t="s">
        <v>889</v>
      </c>
      <c r="H194" s="4" t="s">
        <v>889</v>
      </c>
      <c r="I194" s="4" t="s">
        <v>890</v>
      </c>
      <c r="J194" s="4" t="s">
        <v>914</v>
      </c>
      <c r="K194" s="4" t="s">
        <v>904</v>
      </c>
      <c r="L194" s="6" t="s">
        <v>165</v>
      </c>
    </row>
    <row r="195" spans="1:12" ht="72" customHeight="1">
      <c r="A195" s="4" t="s">
        <v>915</v>
      </c>
      <c r="B195" s="4" t="s">
        <v>887</v>
      </c>
      <c r="C195" s="4" t="s">
        <v>916</v>
      </c>
      <c r="D195" s="4" t="s">
        <v>42</v>
      </c>
      <c r="E195" s="4" t="s">
        <v>33</v>
      </c>
      <c r="F195" s="4" t="s">
        <v>33</v>
      </c>
      <c r="G195" s="4" t="s">
        <v>889</v>
      </c>
      <c r="H195" s="4" t="s">
        <v>889</v>
      </c>
      <c r="I195" s="4" t="s">
        <v>890</v>
      </c>
      <c r="J195" s="4" t="s">
        <v>917</v>
      </c>
      <c r="K195" s="4" t="s">
        <v>904</v>
      </c>
      <c r="L195" s="6" t="s">
        <v>518</v>
      </c>
    </row>
    <row r="196" spans="1:12" ht="72" customHeight="1">
      <c r="A196" s="4" t="s">
        <v>918</v>
      </c>
      <c r="B196" s="4" t="s">
        <v>887</v>
      </c>
      <c r="C196" s="4" t="s">
        <v>919</v>
      </c>
      <c r="D196" s="4" t="s">
        <v>42</v>
      </c>
      <c r="E196" s="4" t="s">
        <v>33</v>
      </c>
      <c r="F196" s="4" t="s">
        <v>33</v>
      </c>
      <c r="G196" s="4" t="s">
        <v>889</v>
      </c>
      <c r="H196" s="4" t="s">
        <v>889</v>
      </c>
      <c r="I196" s="4" t="s">
        <v>890</v>
      </c>
      <c r="J196" s="4" t="s">
        <v>920</v>
      </c>
      <c r="K196" s="4" t="s">
        <v>904</v>
      </c>
      <c r="L196" s="6" t="s">
        <v>165</v>
      </c>
    </row>
    <row r="197" spans="1:12" ht="72" customHeight="1">
      <c r="A197" s="4" t="s">
        <v>921</v>
      </c>
      <c r="B197" s="4" t="s">
        <v>922</v>
      </c>
      <c r="C197" s="4" t="s">
        <v>923</v>
      </c>
      <c r="D197" s="4" t="s">
        <v>42</v>
      </c>
      <c r="E197" s="4" t="s">
        <v>33</v>
      </c>
      <c r="F197" s="4" t="s">
        <v>33</v>
      </c>
      <c r="G197" s="4" t="s">
        <v>924</v>
      </c>
      <c r="H197" s="4" t="s">
        <v>924</v>
      </c>
      <c r="I197" s="4" t="s">
        <v>925</v>
      </c>
      <c r="J197" s="4" t="s">
        <v>926</v>
      </c>
      <c r="K197" s="4" t="s">
        <v>927</v>
      </c>
      <c r="L197" s="6" t="s">
        <v>39</v>
      </c>
    </row>
    <row r="198" spans="1:12" ht="72" customHeight="1">
      <c r="A198" s="4" t="s">
        <v>928</v>
      </c>
      <c r="B198" s="4" t="s">
        <v>922</v>
      </c>
      <c r="C198" s="4" t="s">
        <v>929</v>
      </c>
      <c r="D198" s="4" t="s">
        <v>42</v>
      </c>
      <c r="E198" s="4" t="s">
        <v>33</v>
      </c>
      <c r="F198" s="4" t="s">
        <v>33</v>
      </c>
      <c r="G198" s="4" t="s">
        <v>924</v>
      </c>
      <c r="H198" s="4" t="s">
        <v>924</v>
      </c>
      <c r="I198" s="4" t="s">
        <v>925</v>
      </c>
      <c r="J198" s="4" t="s">
        <v>930</v>
      </c>
      <c r="K198" s="4" t="s">
        <v>931</v>
      </c>
      <c r="L198" s="6" t="s">
        <v>153</v>
      </c>
    </row>
    <row r="199" spans="1:12" ht="72" customHeight="1">
      <c r="A199" s="4" t="s">
        <v>932</v>
      </c>
      <c r="B199" s="4" t="s">
        <v>922</v>
      </c>
      <c r="C199" s="4" t="s">
        <v>933</v>
      </c>
      <c r="D199" s="4" t="s">
        <v>42</v>
      </c>
      <c r="E199" s="4" t="s">
        <v>33</v>
      </c>
      <c r="F199" s="4" t="s">
        <v>33</v>
      </c>
      <c r="G199" s="4" t="s">
        <v>924</v>
      </c>
      <c r="H199" s="4" t="s">
        <v>924</v>
      </c>
      <c r="I199" s="4" t="s">
        <v>925</v>
      </c>
      <c r="J199" s="4" t="s">
        <v>934</v>
      </c>
      <c r="K199" s="4" t="s">
        <v>935</v>
      </c>
      <c r="L199" s="6" t="s">
        <v>88</v>
      </c>
    </row>
    <row r="200" spans="1:12" ht="72" customHeight="1">
      <c r="A200" s="4" t="s">
        <v>936</v>
      </c>
      <c r="B200" s="4" t="s">
        <v>922</v>
      </c>
      <c r="C200" s="4" t="s">
        <v>937</v>
      </c>
      <c r="D200" s="4" t="s">
        <v>42</v>
      </c>
      <c r="E200" s="4" t="s">
        <v>33</v>
      </c>
      <c r="F200" s="4" t="s">
        <v>33</v>
      </c>
      <c r="G200" s="4" t="s">
        <v>924</v>
      </c>
      <c r="H200" s="4" t="s">
        <v>924</v>
      </c>
      <c r="I200" s="4" t="s">
        <v>925</v>
      </c>
      <c r="J200" s="4" t="s">
        <v>938</v>
      </c>
      <c r="K200" s="4" t="s">
        <v>935</v>
      </c>
      <c r="L200" s="6" t="s">
        <v>518</v>
      </c>
    </row>
    <row r="201" spans="1:12" ht="72" customHeight="1">
      <c r="A201" s="4" t="s">
        <v>939</v>
      </c>
      <c r="B201" s="4" t="s">
        <v>922</v>
      </c>
      <c r="C201" s="4" t="s">
        <v>940</v>
      </c>
      <c r="D201" s="4" t="s">
        <v>42</v>
      </c>
      <c r="E201" s="4" t="s">
        <v>33</v>
      </c>
      <c r="F201" s="4" t="s">
        <v>33</v>
      </c>
      <c r="G201" s="4" t="s">
        <v>924</v>
      </c>
      <c r="H201" s="4" t="s">
        <v>924</v>
      </c>
      <c r="I201" s="4" t="s">
        <v>925</v>
      </c>
      <c r="J201" s="4" t="s">
        <v>941</v>
      </c>
      <c r="K201" s="4" t="s">
        <v>942</v>
      </c>
      <c r="L201" s="6" t="s">
        <v>518</v>
      </c>
    </row>
    <row r="202" spans="1:12" ht="72" customHeight="1">
      <c r="A202" s="4" t="s">
        <v>943</v>
      </c>
      <c r="B202" s="4" t="s">
        <v>922</v>
      </c>
      <c r="C202" s="4" t="s">
        <v>944</v>
      </c>
      <c r="D202" s="4" t="s">
        <v>42</v>
      </c>
      <c r="E202" s="4" t="s">
        <v>33</v>
      </c>
      <c r="F202" s="4" t="s">
        <v>33</v>
      </c>
      <c r="G202" s="4" t="s">
        <v>924</v>
      </c>
      <c r="H202" s="4" t="s">
        <v>924</v>
      </c>
      <c r="I202" s="4" t="s">
        <v>925</v>
      </c>
      <c r="J202" s="4" t="s">
        <v>945</v>
      </c>
      <c r="K202" s="4" t="s">
        <v>946</v>
      </c>
      <c r="L202" s="6" t="s">
        <v>103</v>
      </c>
    </row>
    <row r="203" spans="1:12" ht="72" customHeight="1">
      <c r="A203" s="4" t="s">
        <v>947</v>
      </c>
      <c r="B203" s="4" t="s">
        <v>948</v>
      </c>
      <c r="C203" s="4" t="s">
        <v>949</v>
      </c>
      <c r="D203" s="4" t="s">
        <v>42</v>
      </c>
      <c r="E203" s="4" t="s">
        <v>33</v>
      </c>
      <c r="F203" s="4" t="s">
        <v>33</v>
      </c>
      <c r="G203" s="4" t="s">
        <v>950</v>
      </c>
      <c r="H203" s="4" t="s">
        <v>950</v>
      </c>
      <c r="I203" s="4" t="s">
        <v>951</v>
      </c>
      <c r="J203" s="4" t="s">
        <v>952</v>
      </c>
      <c r="K203" s="4" t="s">
        <v>953</v>
      </c>
      <c r="L203" s="6" t="s">
        <v>159</v>
      </c>
    </row>
    <row r="204" spans="1:12" ht="72" customHeight="1">
      <c r="A204" s="4" t="s">
        <v>954</v>
      </c>
      <c r="B204" s="4" t="s">
        <v>948</v>
      </c>
      <c r="C204" s="4" t="s">
        <v>955</v>
      </c>
      <c r="D204" s="4" t="s">
        <v>42</v>
      </c>
      <c r="E204" s="4" t="s">
        <v>33</v>
      </c>
      <c r="F204" s="4" t="s">
        <v>33</v>
      </c>
      <c r="G204" s="4" t="s">
        <v>950</v>
      </c>
      <c r="H204" s="4" t="s">
        <v>950</v>
      </c>
      <c r="I204" s="4" t="s">
        <v>951</v>
      </c>
      <c r="J204" s="4" t="s">
        <v>956</v>
      </c>
      <c r="K204" s="4" t="s">
        <v>957</v>
      </c>
      <c r="L204" s="6" t="s">
        <v>147</v>
      </c>
    </row>
    <row r="205" spans="1:12" ht="72" customHeight="1">
      <c r="A205" s="4" t="s">
        <v>958</v>
      </c>
      <c r="B205" s="4" t="s">
        <v>948</v>
      </c>
      <c r="C205" s="4" t="s">
        <v>959</v>
      </c>
      <c r="D205" s="4" t="s">
        <v>42</v>
      </c>
      <c r="E205" s="4" t="s">
        <v>33</v>
      </c>
      <c r="F205" s="4" t="s">
        <v>33</v>
      </c>
      <c r="G205" s="4" t="s">
        <v>950</v>
      </c>
      <c r="H205" s="4" t="s">
        <v>950</v>
      </c>
      <c r="I205" s="4" t="s">
        <v>951</v>
      </c>
      <c r="J205" s="4" t="s">
        <v>960</v>
      </c>
      <c r="K205" s="4" t="s">
        <v>961</v>
      </c>
      <c r="L205" s="6" t="s">
        <v>153</v>
      </c>
    </row>
    <row r="206" spans="1:12" ht="72" customHeight="1">
      <c r="A206" s="4" t="s">
        <v>962</v>
      </c>
      <c r="B206" s="4" t="s">
        <v>948</v>
      </c>
      <c r="C206" s="4" t="s">
        <v>963</v>
      </c>
      <c r="D206" s="4" t="s">
        <v>42</v>
      </c>
      <c r="E206" s="4" t="s">
        <v>33</v>
      </c>
      <c r="F206" s="4" t="s">
        <v>33</v>
      </c>
      <c r="G206" s="4" t="s">
        <v>950</v>
      </c>
      <c r="H206" s="4" t="s">
        <v>950</v>
      </c>
      <c r="I206" s="4" t="s">
        <v>951</v>
      </c>
      <c r="J206" s="4" t="s">
        <v>964</v>
      </c>
      <c r="K206" s="4" t="s">
        <v>965</v>
      </c>
      <c r="L206" s="6" t="s">
        <v>165</v>
      </c>
    </row>
    <row r="207" spans="1:12" ht="72" customHeight="1">
      <c r="A207" s="4" t="s">
        <v>966</v>
      </c>
      <c r="B207" s="4" t="s">
        <v>948</v>
      </c>
      <c r="C207" s="4" t="s">
        <v>967</v>
      </c>
      <c r="D207" s="4" t="s">
        <v>42</v>
      </c>
      <c r="E207" s="4" t="s">
        <v>33</v>
      </c>
      <c r="F207" s="4" t="s">
        <v>33</v>
      </c>
      <c r="G207" s="4" t="s">
        <v>950</v>
      </c>
      <c r="H207" s="4" t="s">
        <v>950</v>
      </c>
      <c r="I207" s="4" t="s">
        <v>951</v>
      </c>
      <c r="J207" s="4" t="s">
        <v>968</v>
      </c>
      <c r="K207" s="4" t="s">
        <v>969</v>
      </c>
      <c r="L207" s="6" t="s">
        <v>518</v>
      </c>
    </row>
    <row r="208" spans="1:12" ht="72" customHeight="1">
      <c r="A208" s="4" t="s">
        <v>970</v>
      </c>
      <c r="B208" s="4" t="s">
        <v>948</v>
      </c>
      <c r="C208" s="4" t="s">
        <v>971</v>
      </c>
      <c r="D208" s="4" t="s">
        <v>42</v>
      </c>
      <c r="E208" s="4" t="s">
        <v>33</v>
      </c>
      <c r="F208" s="4" t="s">
        <v>33</v>
      </c>
      <c r="G208" s="4" t="s">
        <v>950</v>
      </c>
      <c r="H208" s="4" t="s">
        <v>950</v>
      </c>
      <c r="I208" s="4" t="s">
        <v>951</v>
      </c>
      <c r="J208" s="4" t="s">
        <v>972</v>
      </c>
      <c r="K208" s="4" t="s">
        <v>973</v>
      </c>
      <c r="L208" s="6" t="s">
        <v>88</v>
      </c>
    </row>
    <row r="209" spans="1:12" ht="72" customHeight="1">
      <c r="A209" s="4" t="s">
        <v>974</v>
      </c>
      <c r="B209" s="4" t="s">
        <v>975</v>
      </c>
      <c r="C209" s="4" t="s">
        <v>976</v>
      </c>
      <c r="D209" s="4" t="s">
        <v>42</v>
      </c>
      <c r="E209" s="4" t="s">
        <v>33</v>
      </c>
      <c r="F209" s="4" t="s">
        <v>33</v>
      </c>
      <c r="G209" s="4" t="s">
        <v>977</v>
      </c>
      <c r="H209" s="4" t="s">
        <v>978</v>
      </c>
      <c r="I209" s="4" t="s">
        <v>979</v>
      </c>
      <c r="J209" s="4" t="s">
        <v>980</v>
      </c>
      <c r="K209" s="4" t="s">
        <v>981</v>
      </c>
      <c r="L209" s="6" t="s">
        <v>518</v>
      </c>
    </row>
    <row r="210" spans="1:12" ht="72" customHeight="1">
      <c r="A210" s="4" t="s">
        <v>982</v>
      </c>
      <c r="B210" s="4" t="s">
        <v>975</v>
      </c>
      <c r="C210" s="4" t="s">
        <v>983</v>
      </c>
      <c r="D210" s="4" t="s">
        <v>42</v>
      </c>
      <c r="E210" s="4" t="s">
        <v>33</v>
      </c>
      <c r="F210" s="4" t="s">
        <v>33</v>
      </c>
      <c r="G210" s="4" t="s">
        <v>984</v>
      </c>
      <c r="H210" s="4" t="s">
        <v>985</v>
      </c>
      <c r="I210" s="4" t="s">
        <v>986</v>
      </c>
      <c r="J210" s="4" t="s">
        <v>987</v>
      </c>
      <c r="K210" s="4" t="s">
        <v>981</v>
      </c>
      <c r="L210" s="6" t="s">
        <v>311</v>
      </c>
    </row>
    <row r="211" spans="1:12" ht="72" customHeight="1">
      <c r="A211" s="4" t="s">
        <v>988</v>
      </c>
      <c r="B211" s="4" t="s">
        <v>975</v>
      </c>
      <c r="C211" s="4" t="s">
        <v>989</v>
      </c>
      <c r="D211" s="4" t="s">
        <v>42</v>
      </c>
      <c r="E211" s="4" t="s">
        <v>33</v>
      </c>
      <c r="F211" s="4" t="s">
        <v>33</v>
      </c>
      <c r="G211" s="4" t="s">
        <v>977</v>
      </c>
      <c r="H211" s="4" t="s">
        <v>978</v>
      </c>
      <c r="I211" s="4" t="s">
        <v>979</v>
      </c>
      <c r="J211" s="4" t="s">
        <v>990</v>
      </c>
      <c r="K211" s="4" t="s">
        <v>981</v>
      </c>
      <c r="L211" s="6" t="s">
        <v>165</v>
      </c>
    </row>
    <row r="212" spans="1:12" ht="72" customHeight="1">
      <c r="A212" s="4" t="s">
        <v>991</v>
      </c>
      <c r="B212" s="4" t="s">
        <v>975</v>
      </c>
      <c r="C212" s="4" t="s">
        <v>992</v>
      </c>
      <c r="D212" s="4" t="s">
        <v>42</v>
      </c>
      <c r="E212" s="4" t="s">
        <v>33</v>
      </c>
      <c r="F212" s="4" t="s">
        <v>33</v>
      </c>
      <c r="G212" s="4" t="s">
        <v>977</v>
      </c>
      <c r="H212" s="4" t="s">
        <v>978</v>
      </c>
      <c r="I212" s="4" t="s">
        <v>979</v>
      </c>
      <c r="J212" s="4" t="s">
        <v>993</v>
      </c>
      <c r="K212" s="4" t="s">
        <v>994</v>
      </c>
      <c r="L212" s="6" t="s">
        <v>518</v>
      </c>
    </row>
    <row r="213" spans="1:12" ht="72" customHeight="1">
      <c r="A213" s="4" t="s">
        <v>995</v>
      </c>
      <c r="B213" s="4" t="s">
        <v>975</v>
      </c>
      <c r="C213" s="4" t="s">
        <v>996</v>
      </c>
      <c r="D213" s="4" t="s">
        <v>42</v>
      </c>
      <c r="E213" s="4" t="s">
        <v>33</v>
      </c>
      <c r="F213" s="4" t="s">
        <v>33</v>
      </c>
      <c r="G213" s="4" t="s">
        <v>984</v>
      </c>
      <c r="H213" s="4" t="s">
        <v>985</v>
      </c>
      <c r="I213" s="4" t="s">
        <v>986</v>
      </c>
      <c r="J213" s="4" t="s">
        <v>997</v>
      </c>
      <c r="K213" s="4" t="s">
        <v>998</v>
      </c>
      <c r="L213" s="6" t="s">
        <v>81</v>
      </c>
    </row>
    <row r="214" spans="1:12" ht="72" customHeight="1">
      <c r="A214" s="4" t="s">
        <v>999</v>
      </c>
      <c r="B214" s="4" t="s">
        <v>975</v>
      </c>
      <c r="C214" s="4" t="s">
        <v>1000</v>
      </c>
      <c r="D214" s="4" t="s">
        <v>42</v>
      </c>
      <c r="E214" s="4" t="s">
        <v>33</v>
      </c>
      <c r="F214" s="4" t="s">
        <v>33</v>
      </c>
      <c r="G214" s="4" t="s">
        <v>977</v>
      </c>
      <c r="H214" s="4" t="s">
        <v>978</v>
      </c>
      <c r="I214" s="4" t="s">
        <v>979</v>
      </c>
      <c r="J214" s="4" t="s">
        <v>1001</v>
      </c>
      <c r="K214" s="4" t="s">
        <v>994</v>
      </c>
      <c r="L214" s="6" t="s">
        <v>103</v>
      </c>
    </row>
    <row r="215" spans="1:12" ht="72" customHeight="1">
      <c r="A215" s="4" t="s">
        <v>1002</v>
      </c>
      <c r="B215" s="4" t="s">
        <v>1003</v>
      </c>
      <c r="C215" s="4" t="s">
        <v>1004</v>
      </c>
      <c r="D215" s="4" t="s">
        <v>42</v>
      </c>
      <c r="E215" s="4" t="s">
        <v>33</v>
      </c>
      <c r="F215" s="4" t="s">
        <v>33</v>
      </c>
      <c r="G215" s="4" t="s">
        <v>1005</v>
      </c>
      <c r="H215" s="4" t="s">
        <v>1005</v>
      </c>
      <c r="I215" s="4" t="s">
        <v>1006</v>
      </c>
      <c r="J215" s="4" t="s">
        <v>1007</v>
      </c>
      <c r="K215" s="4" t="s">
        <v>1008</v>
      </c>
      <c r="L215" s="6" t="s">
        <v>159</v>
      </c>
    </row>
    <row r="216" spans="1:12" ht="72" customHeight="1">
      <c r="A216" s="4" t="s">
        <v>1009</v>
      </c>
      <c r="B216" s="4" t="s">
        <v>1003</v>
      </c>
      <c r="C216" s="4" t="s">
        <v>1010</v>
      </c>
      <c r="D216" s="4" t="s">
        <v>42</v>
      </c>
      <c r="E216" s="4" t="s">
        <v>33</v>
      </c>
      <c r="F216" s="4" t="s">
        <v>33</v>
      </c>
      <c r="G216" s="4" t="s">
        <v>1005</v>
      </c>
      <c r="H216" s="4" t="s">
        <v>1005</v>
      </c>
      <c r="I216" s="4" t="s">
        <v>1006</v>
      </c>
      <c r="J216" s="4" t="s">
        <v>1011</v>
      </c>
      <c r="K216" s="4" t="s">
        <v>1008</v>
      </c>
      <c r="L216" s="6" t="s">
        <v>153</v>
      </c>
    </row>
    <row r="217" spans="1:12" ht="72" customHeight="1">
      <c r="A217" s="4" t="s">
        <v>1012</v>
      </c>
      <c r="B217" s="4" t="s">
        <v>1003</v>
      </c>
      <c r="C217" s="4" t="s">
        <v>1013</v>
      </c>
      <c r="D217" s="4" t="s">
        <v>42</v>
      </c>
      <c r="E217" s="4" t="s">
        <v>33</v>
      </c>
      <c r="F217" s="4" t="s">
        <v>33</v>
      </c>
      <c r="G217" s="4" t="s">
        <v>1005</v>
      </c>
      <c r="H217" s="4" t="s">
        <v>1005</v>
      </c>
      <c r="I217" s="4" t="s">
        <v>1006</v>
      </c>
      <c r="J217" s="4" t="s">
        <v>1014</v>
      </c>
      <c r="K217" s="4" t="s">
        <v>1008</v>
      </c>
      <c r="L217" s="6" t="s">
        <v>159</v>
      </c>
    </row>
    <row r="218" spans="1:12" ht="72" customHeight="1">
      <c r="A218" s="4" t="s">
        <v>1015</v>
      </c>
      <c r="B218" s="4" t="s">
        <v>1003</v>
      </c>
      <c r="C218" s="4" t="s">
        <v>1016</v>
      </c>
      <c r="D218" s="4" t="s">
        <v>42</v>
      </c>
      <c r="E218" s="4" t="s">
        <v>33</v>
      </c>
      <c r="F218" s="4" t="s">
        <v>33</v>
      </c>
      <c r="G218" s="4" t="s">
        <v>1005</v>
      </c>
      <c r="H218" s="4" t="s">
        <v>1005</v>
      </c>
      <c r="I218" s="4" t="s">
        <v>1006</v>
      </c>
      <c r="J218" s="4" t="s">
        <v>1017</v>
      </c>
      <c r="K218" s="4" t="s">
        <v>1018</v>
      </c>
      <c r="L218" s="6" t="s">
        <v>88</v>
      </c>
    </row>
    <row r="219" spans="1:12" ht="72" customHeight="1">
      <c r="A219" s="4" t="s">
        <v>1019</v>
      </c>
      <c r="B219" s="4" t="s">
        <v>1003</v>
      </c>
      <c r="C219" s="4" t="s">
        <v>1020</v>
      </c>
      <c r="D219" s="4" t="s">
        <v>42</v>
      </c>
      <c r="E219" s="4" t="s">
        <v>33</v>
      </c>
      <c r="F219" s="4" t="s">
        <v>33</v>
      </c>
      <c r="G219" s="4" t="s">
        <v>1005</v>
      </c>
      <c r="H219" s="4" t="s">
        <v>1005</v>
      </c>
      <c r="I219" s="4" t="s">
        <v>1006</v>
      </c>
      <c r="J219" s="4" t="s">
        <v>1021</v>
      </c>
      <c r="K219" s="4" t="s">
        <v>1022</v>
      </c>
      <c r="L219" s="6" t="s">
        <v>165</v>
      </c>
    </row>
    <row r="220" spans="1:12" ht="72" customHeight="1">
      <c r="A220" s="4" t="s">
        <v>1023</v>
      </c>
      <c r="B220" s="4" t="s">
        <v>1024</v>
      </c>
      <c r="C220" s="4" t="s">
        <v>1025</v>
      </c>
      <c r="D220" s="4" t="s">
        <v>32</v>
      </c>
      <c r="E220" s="4" t="s">
        <v>33</v>
      </c>
      <c r="F220" s="4" t="s">
        <v>33</v>
      </c>
      <c r="G220" s="4" t="s">
        <v>1026</v>
      </c>
      <c r="H220" s="4" t="s">
        <v>1026</v>
      </c>
      <c r="I220" s="4" t="s">
        <v>1027</v>
      </c>
      <c r="J220" s="4" t="s">
        <v>1028</v>
      </c>
      <c r="K220" s="4" t="s">
        <v>1029</v>
      </c>
      <c r="L220" s="6" t="s">
        <v>39</v>
      </c>
    </row>
    <row r="221" spans="1:12" ht="72" customHeight="1">
      <c r="A221" s="4" t="s">
        <v>1030</v>
      </c>
      <c r="B221" s="4" t="s">
        <v>1024</v>
      </c>
      <c r="C221" s="4" t="s">
        <v>1031</v>
      </c>
      <c r="D221" s="4" t="s">
        <v>32</v>
      </c>
      <c r="E221" s="4" t="s">
        <v>33</v>
      </c>
      <c r="F221" s="4" t="s">
        <v>33</v>
      </c>
      <c r="G221" s="4" t="s">
        <v>1032</v>
      </c>
      <c r="H221" s="4" t="s">
        <v>1032</v>
      </c>
      <c r="I221" s="4" t="s">
        <v>1027</v>
      </c>
      <c r="J221" s="4" t="s">
        <v>1033</v>
      </c>
      <c r="K221" s="4" t="s">
        <v>1029</v>
      </c>
      <c r="L221" s="6" t="s">
        <v>1034</v>
      </c>
    </row>
    <row r="222" spans="1:12" ht="72" customHeight="1">
      <c r="A222" s="4" t="s">
        <v>1035</v>
      </c>
      <c r="B222" s="4" t="s">
        <v>1024</v>
      </c>
      <c r="C222" s="4" t="s">
        <v>1036</v>
      </c>
      <c r="D222" s="4" t="s">
        <v>32</v>
      </c>
      <c r="E222" s="4" t="s">
        <v>33</v>
      </c>
      <c r="F222" s="4" t="s">
        <v>33</v>
      </c>
      <c r="G222" s="4" t="s">
        <v>1037</v>
      </c>
      <c r="H222" s="4" t="s">
        <v>1037</v>
      </c>
      <c r="I222" s="4" t="s">
        <v>1027</v>
      </c>
      <c r="J222" s="4" t="s">
        <v>1038</v>
      </c>
      <c r="K222" s="4" t="s">
        <v>1039</v>
      </c>
      <c r="L222" s="6" t="s">
        <v>311</v>
      </c>
    </row>
    <row r="223" spans="1:12" ht="72" customHeight="1">
      <c r="A223" s="4" t="s">
        <v>1040</v>
      </c>
      <c r="B223" s="4" t="s">
        <v>1024</v>
      </c>
      <c r="C223" s="4" t="s">
        <v>1041</v>
      </c>
      <c r="D223" s="4" t="s">
        <v>32</v>
      </c>
      <c r="E223" s="4" t="s">
        <v>33</v>
      </c>
      <c r="F223" s="4" t="s">
        <v>33</v>
      </c>
      <c r="G223" s="4" t="s">
        <v>1042</v>
      </c>
      <c r="H223" s="4" t="s">
        <v>1042</v>
      </c>
      <c r="I223" s="4" t="s">
        <v>1027</v>
      </c>
      <c r="J223" s="4" t="s">
        <v>1043</v>
      </c>
      <c r="K223" s="4" t="s">
        <v>1044</v>
      </c>
      <c r="L223" s="6" t="s">
        <v>1045</v>
      </c>
    </row>
    <row r="224" spans="1:12" ht="72" customHeight="1">
      <c r="A224" s="4" t="s">
        <v>1046</v>
      </c>
      <c r="B224" s="4" t="s">
        <v>1024</v>
      </c>
      <c r="C224" s="4" t="s">
        <v>1047</v>
      </c>
      <c r="D224" s="4" t="s">
        <v>32</v>
      </c>
      <c r="E224" s="4" t="s">
        <v>33</v>
      </c>
      <c r="F224" s="4" t="s">
        <v>33</v>
      </c>
      <c r="G224" s="4" t="s">
        <v>1048</v>
      </c>
      <c r="H224" s="4" t="s">
        <v>1048</v>
      </c>
      <c r="I224" s="4" t="s">
        <v>1027</v>
      </c>
      <c r="J224" s="4" t="s">
        <v>1049</v>
      </c>
      <c r="K224" s="4" t="s">
        <v>1050</v>
      </c>
      <c r="L224" s="6" t="s">
        <v>518</v>
      </c>
    </row>
    <row r="225" spans="1:12" ht="72" customHeight="1">
      <c r="A225" s="4" t="s">
        <v>1051</v>
      </c>
      <c r="B225" s="4" t="s">
        <v>1024</v>
      </c>
      <c r="C225" s="4" t="s">
        <v>1052</v>
      </c>
      <c r="D225" s="4" t="s">
        <v>32</v>
      </c>
      <c r="E225" s="4" t="s">
        <v>33</v>
      </c>
      <c r="F225" s="4" t="s">
        <v>33</v>
      </c>
      <c r="G225" s="4" t="s">
        <v>1053</v>
      </c>
      <c r="H225" s="4" t="s">
        <v>1053</v>
      </c>
      <c r="I225" s="4" t="s">
        <v>1027</v>
      </c>
      <c r="J225" s="4" t="s">
        <v>1054</v>
      </c>
      <c r="K225" s="4" t="s">
        <v>1055</v>
      </c>
      <c r="L225" s="6" t="s">
        <v>518</v>
      </c>
    </row>
    <row r="226" spans="1:12" ht="72" customHeight="1">
      <c r="A226" s="4" t="s">
        <v>1056</v>
      </c>
      <c r="B226" s="4" t="s">
        <v>1024</v>
      </c>
      <c r="C226" s="4" t="s">
        <v>1057</v>
      </c>
      <c r="D226" s="4" t="s">
        <v>32</v>
      </c>
      <c r="E226" s="4" t="s">
        <v>33</v>
      </c>
      <c r="F226" s="4" t="s">
        <v>33</v>
      </c>
      <c r="G226" s="4" t="s">
        <v>1058</v>
      </c>
      <c r="H226" s="4" t="s">
        <v>1058</v>
      </c>
      <c r="I226" s="4" t="s">
        <v>1027</v>
      </c>
      <c r="J226" s="4" t="s">
        <v>1059</v>
      </c>
      <c r="K226" s="4" t="s">
        <v>1060</v>
      </c>
      <c r="L226" s="6" t="s">
        <v>95</v>
      </c>
    </row>
    <row r="227" spans="1:12" ht="72" customHeight="1">
      <c r="A227" s="4" t="s">
        <v>1061</v>
      </c>
      <c r="B227" s="4" t="s">
        <v>1024</v>
      </c>
      <c r="C227" s="4" t="s">
        <v>1062</v>
      </c>
      <c r="D227" s="4" t="s">
        <v>32</v>
      </c>
      <c r="E227" s="4" t="s">
        <v>33</v>
      </c>
      <c r="F227" s="4" t="s">
        <v>33</v>
      </c>
      <c r="G227" s="4" t="s">
        <v>1063</v>
      </c>
      <c r="H227" s="4" t="s">
        <v>1063</v>
      </c>
      <c r="I227" s="4" t="s">
        <v>1027</v>
      </c>
      <c r="J227" s="4" t="s">
        <v>1064</v>
      </c>
      <c r="K227" s="4" t="s">
        <v>1065</v>
      </c>
      <c r="L227" s="6" t="s">
        <v>88</v>
      </c>
    </row>
    <row r="228" spans="1:12" ht="72" customHeight="1">
      <c r="A228" s="4" t="s">
        <v>1066</v>
      </c>
      <c r="B228" s="4" t="s">
        <v>1024</v>
      </c>
      <c r="C228" s="4" t="s">
        <v>1067</v>
      </c>
      <c r="D228" s="4" t="s">
        <v>32</v>
      </c>
      <c r="E228" s="4" t="s">
        <v>33</v>
      </c>
      <c r="F228" s="4" t="s">
        <v>33</v>
      </c>
      <c r="G228" s="4" t="s">
        <v>1068</v>
      </c>
      <c r="H228" s="4" t="s">
        <v>1068</v>
      </c>
      <c r="I228" s="4" t="s">
        <v>1027</v>
      </c>
      <c r="J228" s="4" t="s">
        <v>1069</v>
      </c>
      <c r="K228" s="4" t="s">
        <v>1070</v>
      </c>
      <c r="L228" s="6" t="s">
        <v>311</v>
      </c>
    </row>
    <row r="229" spans="1:12" ht="72" customHeight="1">
      <c r="A229" s="4" t="s">
        <v>1071</v>
      </c>
      <c r="B229" s="4" t="s">
        <v>1024</v>
      </c>
      <c r="C229" s="4" t="s">
        <v>1072</v>
      </c>
      <c r="D229" s="4" t="s">
        <v>32</v>
      </c>
      <c r="E229" s="4" t="s">
        <v>33</v>
      </c>
      <c r="F229" s="4" t="s">
        <v>33</v>
      </c>
      <c r="G229" s="4" t="s">
        <v>1073</v>
      </c>
      <c r="H229" s="4" t="s">
        <v>1073</v>
      </c>
      <c r="I229" s="4" t="s">
        <v>1027</v>
      </c>
      <c r="J229" s="4" t="s">
        <v>1074</v>
      </c>
      <c r="K229" s="4" t="s">
        <v>1029</v>
      </c>
      <c r="L229" s="6" t="s">
        <v>88</v>
      </c>
    </row>
    <row r="230" spans="1:12" ht="72" customHeight="1">
      <c r="A230" s="4" t="s">
        <v>1075</v>
      </c>
      <c r="B230" s="4" t="s">
        <v>1076</v>
      </c>
      <c r="C230" s="4" t="s">
        <v>1077</v>
      </c>
      <c r="D230" s="4" t="s">
        <v>42</v>
      </c>
      <c r="E230" s="4" t="s">
        <v>33</v>
      </c>
      <c r="F230" s="4" t="s">
        <v>33</v>
      </c>
      <c r="G230" s="4" t="s">
        <v>1078</v>
      </c>
      <c r="H230" s="4" t="s">
        <v>1078</v>
      </c>
      <c r="I230" s="4" t="s">
        <v>1079</v>
      </c>
      <c r="J230" s="4" t="s">
        <v>1080</v>
      </c>
      <c r="K230" s="4" t="s">
        <v>1081</v>
      </c>
      <c r="L230" s="6" t="s">
        <v>39</v>
      </c>
    </row>
    <row r="231" spans="1:12" ht="72" customHeight="1">
      <c r="A231" s="4" t="s">
        <v>1082</v>
      </c>
      <c r="B231" s="4" t="s">
        <v>1076</v>
      </c>
      <c r="C231" s="4" t="s">
        <v>1083</v>
      </c>
      <c r="D231" s="4" t="s">
        <v>42</v>
      </c>
      <c r="E231" s="4" t="s">
        <v>33</v>
      </c>
      <c r="F231" s="4" t="s">
        <v>33</v>
      </c>
      <c r="G231" s="4" t="s">
        <v>1078</v>
      </c>
      <c r="H231" s="4" t="s">
        <v>1078</v>
      </c>
      <c r="I231" s="4" t="s">
        <v>1079</v>
      </c>
      <c r="J231" s="4" t="s">
        <v>1084</v>
      </c>
      <c r="K231" s="4" t="s">
        <v>1081</v>
      </c>
      <c r="L231" s="6" t="s">
        <v>116</v>
      </c>
    </row>
    <row r="232" spans="1:12" ht="72" customHeight="1">
      <c r="A232" s="4" t="s">
        <v>1085</v>
      </c>
      <c r="B232" s="4" t="s">
        <v>1076</v>
      </c>
      <c r="C232" s="4" t="s">
        <v>1086</v>
      </c>
      <c r="D232" s="4" t="s">
        <v>42</v>
      </c>
      <c r="E232" s="4" t="s">
        <v>33</v>
      </c>
      <c r="F232" s="4" t="s">
        <v>33</v>
      </c>
      <c r="G232" s="4" t="s">
        <v>1078</v>
      </c>
      <c r="H232" s="4" t="s">
        <v>1078</v>
      </c>
      <c r="I232" s="4" t="s">
        <v>1079</v>
      </c>
      <c r="J232" s="4" t="s">
        <v>1087</v>
      </c>
      <c r="K232" s="4" t="s">
        <v>1081</v>
      </c>
      <c r="L232" s="6" t="s">
        <v>88</v>
      </c>
    </row>
    <row r="233" spans="1:12" ht="72" customHeight="1">
      <c r="A233" s="4" t="s">
        <v>1088</v>
      </c>
      <c r="B233" s="4" t="s">
        <v>1076</v>
      </c>
      <c r="C233" s="4" t="s">
        <v>1089</v>
      </c>
      <c r="D233" s="4" t="s">
        <v>42</v>
      </c>
      <c r="E233" s="4" t="s">
        <v>33</v>
      </c>
      <c r="F233" s="4" t="s">
        <v>33</v>
      </c>
      <c r="G233" s="4" t="s">
        <v>1078</v>
      </c>
      <c r="H233" s="4" t="s">
        <v>1078</v>
      </c>
      <c r="I233" s="4" t="s">
        <v>1079</v>
      </c>
      <c r="J233" s="4" t="s">
        <v>1090</v>
      </c>
      <c r="K233" s="4" t="s">
        <v>1081</v>
      </c>
      <c r="L233" s="6" t="s">
        <v>165</v>
      </c>
    </row>
    <row r="234" spans="1:12" ht="72" customHeight="1">
      <c r="A234" s="4" t="s">
        <v>1091</v>
      </c>
      <c r="B234" s="4" t="s">
        <v>1092</v>
      </c>
      <c r="C234" s="4" t="s">
        <v>1093</v>
      </c>
      <c r="D234" s="4" t="s">
        <v>42</v>
      </c>
      <c r="E234" s="4" t="s">
        <v>33</v>
      </c>
      <c r="F234" s="4" t="s">
        <v>33</v>
      </c>
      <c r="G234" s="4" t="s">
        <v>1094</v>
      </c>
      <c r="H234" s="4" t="s">
        <v>1094</v>
      </c>
      <c r="I234" s="4" t="s">
        <v>1095</v>
      </c>
      <c r="J234" s="4" t="s">
        <v>1096</v>
      </c>
      <c r="K234" s="4" t="s">
        <v>1097</v>
      </c>
      <c r="L234" s="6" t="s">
        <v>518</v>
      </c>
    </row>
    <row r="235" spans="1:12" ht="72" customHeight="1">
      <c r="A235" s="4" t="s">
        <v>1098</v>
      </c>
      <c r="B235" s="4" t="s">
        <v>1092</v>
      </c>
      <c r="C235" s="4" t="s">
        <v>1099</v>
      </c>
      <c r="D235" s="4" t="s">
        <v>42</v>
      </c>
      <c r="E235" s="4" t="s">
        <v>33</v>
      </c>
      <c r="F235" s="4" t="s">
        <v>33</v>
      </c>
      <c r="G235" s="4" t="s">
        <v>1094</v>
      </c>
      <c r="H235" s="4" t="s">
        <v>1094</v>
      </c>
      <c r="I235" s="4" t="s">
        <v>1095</v>
      </c>
      <c r="J235" s="4" t="s">
        <v>1100</v>
      </c>
      <c r="K235" s="4" t="s">
        <v>1097</v>
      </c>
      <c r="L235" s="6" t="s">
        <v>88</v>
      </c>
    </row>
    <row r="236" spans="1:12" ht="72" customHeight="1">
      <c r="A236" s="4" t="s">
        <v>1101</v>
      </c>
      <c r="B236" s="4" t="s">
        <v>1092</v>
      </c>
      <c r="C236" s="4" t="s">
        <v>1102</v>
      </c>
      <c r="D236" s="4" t="s">
        <v>42</v>
      </c>
      <c r="E236" s="4" t="s">
        <v>33</v>
      </c>
      <c r="F236" s="4" t="s">
        <v>33</v>
      </c>
      <c r="G236" s="4" t="s">
        <v>1094</v>
      </c>
      <c r="H236" s="4" t="s">
        <v>1094</v>
      </c>
      <c r="I236" s="4" t="s">
        <v>1095</v>
      </c>
      <c r="J236" s="4" t="s">
        <v>1103</v>
      </c>
      <c r="K236" s="4" t="s">
        <v>1097</v>
      </c>
      <c r="L236" s="6" t="s">
        <v>81</v>
      </c>
    </row>
    <row r="237" spans="1:12" ht="72" customHeight="1">
      <c r="A237" s="4" t="s">
        <v>1104</v>
      </c>
      <c r="B237" s="4" t="s">
        <v>1092</v>
      </c>
      <c r="C237" s="4" t="s">
        <v>1105</v>
      </c>
      <c r="D237" s="4" t="s">
        <v>42</v>
      </c>
      <c r="E237" s="4" t="s">
        <v>33</v>
      </c>
      <c r="F237" s="4" t="s">
        <v>33</v>
      </c>
      <c r="G237" s="4" t="s">
        <v>1094</v>
      </c>
      <c r="H237" s="4" t="s">
        <v>1094</v>
      </c>
      <c r="I237" s="4" t="s">
        <v>1095</v>
      </c>
      <c r="J237" s="4" t="s">
        <v>1106</v>
      </c>
      <c r="K237" s="4" t="s">
        <v>1097</v>
      </c>
      <c r="L237" s="6" t="s">
        <v>518</v>
      </c>
    </row>
    <row r="238" spans="1:12" ht="72" customHeight="1">
      <c r="A238" s="4" t="s">
        <v>1107</v>
      </c>
      <c r="B238" s="4" t="s">
        <v>1108</v>
      </c>
      <c r="C238" s="4" t="s">
        <v>1109</v>
      </c>
      <c r="D238" s="4" t="s">
        <v>42</v>
      </c>
      <c r="E238" s="4" t="s">
        <v>33</v>
      </c>
      <c r="F238" s="4" t="s">
        <v>33</v>
      </c>
      <c r="G238" s="4" t="s">
        <v>1110</v>
      </c>
      <c r="H238" s="4" t="s">
        <v>1110</v>
      </c>
      <c r="I238" s="4" t="s">
        <v>1111</v>
      </c>
      <c r="J238" s="4" t="s">
        <v>1112</v>
      </c>
      <c r="K238" s="4" t="s">
        <v>1113</v>
      </c>
      <c r="L238" s="6" t="s">
        <v>141</v>
      </c>
    </row>
    <row r="239" spans="1:12" ht="72" customHeight="1">
      <c r="A239" s="4" t="s">
        <v>1114</v>
      </c>
      <c r="B239" s="4" t="s">
        <v>1108</v>
      </c>
      <c r="C239" s="4" t="s">
        <v>1115</v>
      </c>
      <c r="D239" s="4" t="s">
        <v>42</v>
      </c>
      <c r="E239" s="4" t="s">
        <v>33</v>
      </c>
      <c r="F239" s="4" t="s">
        <v>33</v>
      </c>
      <c r="G239" s="4" t="s">
        <v>1110</v>
      </c>
      <c r="H239" s="4" t="s">
        <v>1110</v>
      </c>
      <c r="I239" s="4" t="s">
        <v>1111</v>
      </c>
      <c r="J239" s="4" t="s">
        <v>1116</v>
      </c>
      <c r="K239" s="4" t="s">
        <v>1117</v>
      </c>
      <c r="L239" s="6" t="s">
        <v>165</v>
      </c>
    </row>
    <row r="240" spans="1:12" ht="72" customHeight="1">
      <c r="A240" s="4" t="s">
        <v>1118</v>
      </c>
      <c r="B240" s="4" t="s">
        <v>1108</v>
      </c>
      <c r="C240" s="4" t="s">
        <v>1119</v>
      </c>
      <c r="D240" s="4" t="s">
        <v>42</v>
      </c>
      <c r="E240" s="4" t="s">
        <v>33</v>
      </c>
      <c r="F240" s="4" t="s">
        <v>33</v>
      </c>
      <c r="G240" s="4" t="s">
        <v>1110</v>
      </c>
      <c r="H240" s="4" t="s">
        <v>1110</v>
      </c>
      <c r="I240" s="4" t="s">
        <v>1111</v>
      </c>
      <c r="J240" s="4" t="s">
        <v>1120</v>
      </c>
      <c r="K240" s="4" t="s">
        <v>1121</v>
      </c>
      <c r="L240" s="6" t="s">
        <v>88</v>
      </c>
    </row>
    <row r="241" spans="1:12" ht="72" customHeight="1">
      <c r="A241" s="4" t="s">
        <v>1122</v>
      </c>
      <c r="B241" s="4" t="s">
        <v>1108</v>
      </c>
      <c r="C241" s="4" t="s">
        <v>1123</v>
      </c>
      <c r="D241" s="4" t="s">
        <v>42</v>
      </c>
      <c r="E241" s="4" t="s">
        <v>33</v>
      </c>
      <c r="F241" s="4" t="s">
        <v>33</v>
      </c>
      <c r="G241" s="4" t="s">
        <v>1110</v>
      </c>
      <c r="H241" s="4" t="s">
        <v>1110</v>
      </c>
      <c r="I241" s="4" t="s">
        <v>1111</v>
      </c>
      <c r="J241" s="4" t="s">
        <v>1124</v>
      </c>
      <c r="K241" s="4" t="s">
        <v>1125</v>
      </c>
      <c r="L241" s="6" t="s">
        <v>311</v>
      </c>
    </row>
    <row r="242" spans="1:12" ht="72" customHeight="1">
      <c r="A242" s="4" t="s">
        <v>1126</v>
      </c>
      <c r="B242" s="4" t="s">
        <v>1127</v>
      </c>
      <c r="C242" s="4" t="s">
        <v>1128</v>
      </c>
      <c r="D242" s="4" t="s">
        <v>42</v>
      </c>
      <c r="E242" s="4" t="s">
        <v>33</v>
      </c>
      <c r="F242" s="4" t="s">
        <v>33</v>
      </c>
      <c r="G242" s="4" t="s">
        <v>1129</v>
      </c>
      <c r="H242" s="4" t="s">
        <v>1129</v>
      </c>
      <c r="I242" s="4" t="s">
        <v>1130</v>
      </c>
      <c r="J242" s="4" t="s">
        <v>1131</v>
      </c>
      <c r="K242" s="4" t="s">
        <v>1132</v>
      </c>
      <c r="L242" s="6" t="s">
        <v>165</v>
      </c>
    </row>
    <row r="243" spans="1:12" ht="72" customHeight="1">
      <c r="A243" s="4" t="s">
        <v>1133</v>
      </c>
      <c r="B243" s="4" t="s">
        <v>1127</v>
      </c>
      <c r="C243" s="4" t="s">
        <v>1134</v>
      </c>
      <c r="D243" s="4" t="s">
        <v>42</v>
      </c>
      <c r="E243" s="4" t="s">
        <v>33</v>
      </c>
      <c r="F243" s="4" t="s">
        <v>33</v>
      </c>
      <c r="G243" s="4" t="s">
        <v>1129</v>
      </c>
      <c r="H243" s="4" t="s">
        <v>1129</v>
      </c>
      <c r="I243" s="4" t="s">
        <v>1130</v>
      </c>
      <c r="J243" s="4" t="s">
        <v>1135</v>
      </c>
      <c r="K243" s="4" t="s">
        <v>1132</v>
      </c>
      <c r="L243" s="6" t="s">
        <v>165</v>
      </c>
    </row>
    <row r="244" spans="1:12" ht="72" customHeight="1">
      <c r="A244" s="4" t="s">
        <v>1136</v>
      </c>
      <c r="B244" s="4" t="s">
        <v>1137</v>
      </c>
      <c r="C244" s="4" t="s">
        <v>1138</v>
      </c>
      <c r="D244" s="4" t="s">
        <v>42</v>
      </c>
      <c r="E244" s="4" t="s">
        <v>33</v>
      </c>
      <c r="F244" s="4" t="s">
        <v>33</v>
      </c>
      <c r="G244" s="4" t="s">
        <v>1129</v>
      </c>
      <c r="H244" s="4" t="s">
        <v>1129</v>
      </c>
      <c r="I244" s="4" t="s">
        <v>1130</v>
      </c>
      <c r="J244" s="4" t="s">
        <v>1139</v>
      </c>
      <c r="K244" s="4" t="s">
        <v>1140</v>
      </c>
      <c r="L244" s="6" t="s">
        <v>1045</v>
      </c>
    </row>
    <row r="245" spans="1:12" ht="72" customHeight="1">
      <c r="A245" s="4" t="s">
        <v>1141</v>
      </c>
      <c r="B245" s="4" t="s">
        <v>1137</v>
      </c>
      <c r="C245" s="4" t="s">
        <v>1142</v>
      </c>
      <c r="D245" s="4" t="s">
        <v>42</v>
      </c>
      <c r="E245" s="4" t="s">
        <v>33</v>
      </c>
      <c r="F245" s="4" t="s">
        <v>33</v>
      </c>
      <c r="G245" s="4" t="s">
        <v>1129</v>
      </c>
      <c r="H245" s="4" t="s">
        <v>1129</v>
      </c>
      <c r="I245" s="4" t="s">
        <v>1130</v>
      </c>
      <c r="J245" s="4" t="s">
        <v>1143</v>
      </c>
      <c r="K245" s="4" t="s">
        <v>1140</v>
      </c>
      <c r="L245" s="6" t="s">
        <v>518</v>
      </c>
    </row>
    <row r="246" spans="1:12" ht="72" customHeight="1">
      <c r="A246" s="4" t="s">
        <v>1144</v>
      </c>
      <c r="B246" s="4" t="s">
        <v>1137</v>
      </c>
      <c r="C246" s="4" t="s">
        <v>1145</v>
      </c>
      <c r="D246" s="4" t="s">
        <v>42</v>
      </c>
      <c r="E246" s="4" t="s">
        <v>33</v>
      </c>
      <c r="F246" s="4" t="s">
        <v>33</v>
      </c>
      <c r="G246" s="4" t="s">
        <v>1129</v>
      </c>
      <c r="H246" s="4" t="s">
        <v>1129</v>
      </c>
      <c r="I246" s="4" t="s">
        <v>1130</v>
      </c>
      <c r="J246" s="4" t="s">
        <v>1146</v>
      </c>
      <c r="K246" s="4" t="s">
        <v>1140</v>
      </c>
      <c r="L246" s="6" t="s">
        <v>311</v>
      </c>
    </row>
    <row r="247" spans="1:12" ht="72" customHeight="1">
      <c r="A247" s="4" t="s">
        <v>1147</v>
      </c>
      <c r="B247" s="4" t="s">
        <v>1148</v>
      </c>
      <c r="C247" s="4" t="s">
        <v>1149</v>
      </c>
      <c r="D247" s="4" t="s">
        <v>42</v>
      </c>
      <c r="E247" s="4" t="s">
        <v>33</v>
      </c>
      <c r="F247" s="4" t="s">
        <v>33</v>
      </c>
      <c r="G247" s="4" t="s">
        <v>1150</v>
      </c>
      <c r="H247" s="4" t="s">
        <v>1150</v>
      </c>
      <c r="I247" s="4" t="s">
        <v>1151</v>
      </c>
      <c r="J247" s="4" t="s">
        <v>1152</v>
      </c>
      <c r="K247" s="4" t="s">
        <v>1153</v>
      </c>
      <c r="L247" s="6" t="s">
        <v>39</v>
      </c>
    </row>
    <row r="248" spans="1:12" ht="72" customHeight="1">
      <c r="A248" s="4" t="s">
        <v>1154</v>
      </c>
      <c r="B248" s="4" t="s">
        <v>1148</v>
      </c>
      <c r="C248" s="4" t="s">
        <v>1155</v>
      </c>
      <c r="D248" s="4" t="s">
        <v>42</v>
      </c>
      <c r="E248" s="4" t="s">
        <v>33</v>
      </c>
      <c r="F248" s="4" t="s">
        <v>33</v>
      </c>
      <c r="G248" s="4" t="s">
        <v>1150</v>
      </c>
      <c r="H248" s="4" t="s">
        <v>1150</v>
      </c>
      <c r="I248" s="4" t="s">
        <v>1151</v>
      </c>
      <c r="J248" s="4" t="s">
        <v>1156</v>
      </c>
      <c r="K248" s="4" t="s">
        <v>1157</v>
      </c>
      <c r="L248" s="6" t="s">
        <v>165</v>
      </c>
    </row>
    <row r="249" spans="1:12" ht="72" customHeight="1">
      <c r="A249" s="4" t="s">
        <v>1158</v>
      </c>
      <c r="B249" s="4" t="s">
        <v>1159</v>
      </c>
      <c r="C249" s="4" t="s">
        <v>1160</v>
      </c>
      <c r="D249" s="4" t="s">
        <v>42</v>
      </c>
      <c r="E249" s="4" t="s">
        <v>33</v>
      </c>
      <c r="F249" s="4" t="s">
        <v>33</v>
      </c>
      <c r="G249" s="4" t="s">
        <v>1161</v>
      </c>
      <c r="H249" s="4" t="s">
        <v>1161</v>
      </c>
      <c r="I249" s="4" t="s">
        <v>1162</v>
      </c>
      <c r="J249" s="4" t="s">
        <v>1163</v>
      </c>
      <c r="K249" s="4" t="s">
        <v>1164</v>
      </c>
      <c r="L249" s="6" t="s">
        <v>518</v>
      </c>
    </row>
    <row r="250" spans="1:12" ht="72" customHeight="1">
      <c r="A250" s="4" t="s">
        <v>1165</v>
      </c>
      <c r="B250" s="4" t="s">
        <v>1159</v>
      </c>
      <c r="C250" s="4" t="s">
        <v>1166</v>
      </c>
      <c r="D250" s="4" t="s">
        <v>42</v>
      </c>
      <c r="E250" s="4" t="s">
        <v>33</v>
      </c>
      <c r="F250" s="4" t="s">
        <v>33</v>
      </c>
      <c r="G250" s="4" t="s">
        <v>1161</v>
      </c>
      <c r="H250" s="4" t="s">
        <v>1161</v>
      </c>
      <c r="I250" s="4" t="s">
        <v>1162</v>
      </c>
      <c r="J250" s="4" t="s">
        <v>1167</v>
      </c>
      <c r="K250" s="4" t="s">
        <v>1164</v>
      </c>
      <c r="L250" s="6" t="s">
        <v>165</v>
      </c>
    </row>
    <row r="251" spans="1:12" ht="72" customHeight="1">
      <c r="A251" s="4" t="s">
        <v>1168</v>
      </c>
      <c r="B251" s="4" t="s">
        <v>1159</v>
      </c>
      <c r="C251" s="4" t="s">
        <v>1169</v>
      </c>
      <c r="D251" s="4" t="s">
        <v>42</v>
      </c>
      <c r="E251" s="4" t="s">
        <v>33</v>
      </c>
      <c r="F251" s="4" t="s">
        <v>33</v>
      </c>
      <c r="G251" s="4" t="s">
        <v>1161</v>
      </c>
      <c r="H251" s="4" t="s">
        <v>1161</v>
      </c>
      <c r="I251" s="4" t="s">
        <v>1162</v>
      </c>
      <c r="J251" s="4" t="s">
        <v>1170</v>
      </c>
      <c r="K251" s="4" t="s">
        <v>1171</v>
      </c>
      <c r="L251" s="6" t="s">
        <v>81</v>
      </c>
    </row>
    <row r="252" spans="1:12" ht="72" customHeight="1">
      <c r="A252" s="4" t="s">
        <v>1172</v>
      </c>
      <c r="B252" s="4" t="s">
        <v>1173</v>
      </c>
      <c r="C252" s="4" t="s">
        <v>1174</v>
      </c>
      <c r="D252" s="4" t="s">
        <v>42</v>
      </c>
      <c r="E252" s="4" t="s">
        <v>33</v>
      </c>
      <c r="F252" s="4" t="s">
        <v>33</v>
      </c>
      <c r="G252" s="4" t="s">
        <v>1175</v>
      </c>
      <c r="H252" s="4" t="s">
        <v>1175</v>
      </c>
      <c r="I252" s="4" t="s">
        <v>1176</v>
      </c>
      <c r="J252" s="4" t="s">
        <v>1177</v>
      </c>
      <c r="K252" s="4" t="s">
        <v>1178</v>
      </c>
      <c r="L252" s="6" t="s">
        <v>39</v>
      </c>
    </row>
    <row r="253" spans="1:12" ht="72" customHeight="1">
      <c r="A253" s="4" t="s">
        <v>1179</v>
      </c>
      <c r="B253" s="4" t="s">
        <v>1173</v>
      </c>
      <c r="C253" s="4" t="s">
        <v>1180</v>
      </c>
      <c r="D253" s="4" t="s">
        <v>42</v>
      </c>
      <c r="E253" s="4" t="s">
        <v>33</v>
      </c>
      <c r="F253" s="4" t="s">
        <v>33</v>
      </c>
      <c r="G253" s="4" t="s">
        <v>1175</v>
      </c>
      <c r="H253" s="4" t="s">
        <v>1175</v>
      </c>
      <c r="I253" s="4" t="s">
        <v>1176</v>
      </c>
      <c r="J253" s="4" t="s">
        <v>1181</v>
      </c>
      <c r="K253" s="4" t="s">
        <v>1182</v>
      </c>
      <c r="L253" s="6" t="s">
        <v>153</v>
      </c>
    </row>
    <row r="254" spans="1:12" ht="72" customHeight="1">
      <c r="A254" s="4" t="s">
        <v>1183</v>
      </c>
      <c r="B254" s="4" t="s">
        <v>1173</v>
      </c>
      <c r="C254" s="4" t="s">
        <v>1184</v>
      </c>
      <c r="D254" s="4" t="s">
        <v>42</v>
      </c>
      <c r="E254" s="4" t="s">
        <v>33</v>
      </c>
      <c r="F254" s="4" t="s">
        <v>33</v>
      </c>
      <c r="G254" s="4" t="s">
        <v>1175</v>
      </c>
      <c r="H254" s="4" t="s">
        <v>1175</v>
      </c>
      <c r="I254" s="4" t="s">
        <v>1176</v>
      </c>
      <c r="J254" s="4" t="s">
        <v>1185</v>
      </c>
      <c r="K254" s="4" t="s">
        <v>1178</v>
      </c>
      <c r="L254" s="6" t="s">
        <v>165</v>
      </c>
    </row>
    <row r="255" spans="1:12" ht="72" customHeight="1">
      <c r="A255" s="4" t="s">
        <v>1186</v>
      </c>
      <c r="B255" s="4" t="s">
        <v>1173</v>
      </c>
      <c r="C255" s="4" t="s">
        <v>1187</v>
      </c>
      <c r="D255" s="4" t="s">
        <v>42</v>
      </c>
      <c r="E255" s="4" t="s">
        <v>33</v>
      </c>
      <c r="F255" s="4" t="s">
        <v>33</v>
      </c>
      <c r="G255" s="4" t="s">
        <v>1175</v>
      </c>
      <c r="H255" s="4" t="s">
        <v>1175</v>
      </c>
      <c r="I255" s="4" t="s">
        <v>1176</v>
      </c>
      <c r="J255" s="4" t="s">
        <v>1188</v>
      </c>
      <c r="K255" s="4" t="s">
        <v>1189</v>
      </c>
      <c r="L255" s="6" t="s">
        <v>81</v>
      </c>
    </row>
    <row r="256" spans="1:12" ht="72" customHeight="1">
      <c r="A256" s="4" t="s">
        <v>1190</v>
      </c>
      <c r="B256" s="4" t="s">
        <v>1191</v>
      </c>
      <c r="C256" s="4" t="s">
        <v>1192</v>
      </c>
      <c r="D256" s="4" t="s">
        <v>42</v>
      </c>
      <c r="E256" s="4" t="s">
        <v>33</v>
      </c>
      <c r="F256" s="4" t="s">
        <v>33</v>
      </c>
      <c r="G256" s="4" t="s">
        <v>1193</v>
      </c>
      <c r="H256" s="4" t="s">
        <v>1193</v>
      </c>
      <c r="I256" s="4" t="s">
        <v>1194</v>
      </c>
      <c r="J256" s="4" t="s">
        <v>1195</v>
      </c>
      <c r="K256" s="4" t="s">
        <v>1196</v>
      </c>
      <c r="L256" s="6" t="s">
        <v>518</v>
      </c>
    </row>
    <row r="257" spans="1:12" ht="72" customHeight="1">
      <c r="A257" s="4" t="s">
        <v>1197</v>
      </c>
      <c r="B257" s="4" t="s">
        <v>1191</v>
      </c>
      <c r="C257" s="4" t="s">
        <v>1198</v>
      </c>
      <c r="D257" s="4" t="s">
        <v>42</v>
      </c>
      <c r="E257" s="4" t="s">
        <v>33</v>
      </c>
      <c r="F257" s="4" t="s">
        <v>33</v>
      </c>
      <c r="G257" s="4" t="s">
        <v>1193</v>
      </c>
      <c r="H257" s="4" t="s">
        <v>1193</v>
      </c>
      <c r="I257" s="4" t="s">
        <v>1194</v>
      </c>
      <c r="J257" s="4" t="s">
        <v>1199</v>
      </c>
      <c r="K257" s="4" t="s">
        <v>1200</v>
      </c>
      <c r="L257" s="6" t="s">
        <v>88</v>
      </c>
    </row>
    <row r="258" spans="1:12" ht="72" customHeight="1">
      <c r="A258" s="4" t="s">
        <v>1201</v>
      </c>
      <c r="B258" s="4" t="s">
        <v>1191</v>
      </c>
      <c r="C258" s="4" t="s">
        <v>1202</v>
      </c>
      <c r="D258" s="4" t="s">
        <v>42</v>
      </c>
      <c r="E258" s="4" t="s">
        <v>33</v>
      </c>
      <c r="F258" s="4" t="s">
        <v>33</v>
      </c>
      <c r="G258" s="4" t="s">
        <v>1193</v>
      </c>
      <c r="H258" s="4" t="s">
        <v>1193</v>
      </c>
      <c r="I258" s="4" t="s">
        <v>1194</v>
      </c>
      <c r="J258" s="4" t="s">
        <v>1203</v>
      </c>
      <c r="K258" s="4" t="s">
        <v>1200</v>
      </c>
      <c r="L258" s="6" t="s">
        <v>311</v>
      </c>
    </row>
    <row r="259" spans="1:12" ht="72" customHeight="1">
      <c r="A259" s="4" t="s">
        <v>1204</v>
      </c>
      <c r="B259" s="4" t="s">
        <v>1205</v>
      </c>
      <c r="C259" s="4" t="s">
        <v>1206</v>
      </c>
      <c r="D259" s="4" t="s">
        <v>42</v>
      </c>
      <c r="E259" s="4" t="s">
        <v>33</v>
      </c>
      <c r="F259" s="4" t="s">
        <v>33</v>
      </c>
      <c r="G259" s="4" t="s">
        <v>1207</v>
      </c>
      <c r="H259" s="4" t="s">
        <v>1207</v>
      </c>
      <c r="I259" s="4" t="s">
        <v>1208</v>
      </c>
      <c r="J259" s="4" t="s">
        <v>1209</v>
      </c>
      <c r="K259" s="4" t="s">
        <v>1210</v>
      </c>
      <c r="L259" s="6" t="s">
        <v>39</v>
      </c>
    </row>
    <row r="260" spans="1:12" ht="72" customHeight="1">
      <c r="A260" s="4" t="s">
        <v>1211</v>
      </c>
      <c r="B260" s="4" t="s">
        <v>1205</v>
      </c>
      <c r="C260" s="4" t="s">
        <v>1212</v>
      </c>
      <c r="D260" s="4" t="s">
        <v>42</v>
      </c>
      <c r="E260" s="4" t="s">
        <v>33</v>
      </c>
      <c r="F260" s="4" t="s">
        <v>33</v>
      </c>
      <c r="G260" s="4" t="s">
        <v>1207</v>
      </c>
      <c r="H260" s="4" t="s">
        <v>1207</v>
      </c>
      <c r="I260" s="4" t="s">
        <v>1208</v>
      </c>
      <c r="J260" s="4" t="s">
        <v>1213</v>
      </c>
      <c r="K260" s="4" t="s">
        <v>1214</v>
      </c>
      <c r="L260" s="6" t="s">
        <v>141</v>
      </c>
    </row>
    <row r="261" spans="1:12" ht="72" customHeight="1">
      <c r="A261" s="4" t="s">
        <v>1215</v>
      </c>
      <c r="B261" s="4" t="s">
        <v>1205</v>
      </c>
      <c r="C261" s="4" t="s">
        <v>1216</v>
      </c>
      <c r="D261" s="4" t="s">
        <v>42</v>
      </c>
      <c r="E261" s="4" t="s">
        <v>33</v>
      </c>
      <c r="F261" s="4" t="s">
        <v>33</v>
      </c>
      <c r="G261" s="4" t="s">
        <v>1207</v>
      </c>
      <c r="H261" s="4" t="s">
        <v>1207</v>
      </c>
      <c r="I261" s="4" t="s">
        <v>1208</v>
      </c>
      <c r="J261" s="4" t="s">
        <v>1217</v>
      </c>
      <c r="K261" s="4" t="s">
        <v>1210</v>
      </c>
      <c r="L261" s="6" t="s">
        <v>88</v>
      </c>
    </row>
    <row r="262" spans="1:12" ht="72" customHeight="1">
      <c r="A262" s="4" t="s">
        <v>1218</v>
      </c>
      <c r="B262" s="4" t="s">
        <v>1205</v>
      </c>
      <c r="C262" s="4" t="s">
        <v>1219</v>
      </c>
      <c r="D262" s="4" t="s">
        <v>42</v>
      </c>
      <c r="E262" s="4" t="s">
        <v>33</v>
      </c>
      <c r="F262" s="4" t="s">
        <v>33</v>
      </c>
      <c r="G262" s="4" t="s">
        <v>1207</v>
      </c>
      <c r="H262" s="4" t="s">
        <v>1207</v>
      </c>
      <c r="I262" s="4" t="s">
        <v>1208</v>
      </c>
      <c r="J262" s="4" t="s">
        <v>1220</v>
      </c>
      <c r="K262" s="4" t="s">
        <v>1221</v>
      </c>
      <c r="L262" s="6" t="s">
        <v>518</v>
      </c>
    </row>
    <row r="263" spans="1:12" ht="72" customHeight="1">
      <c r="A263" s="4" t="s">
        <v>1222</v>
      </c>
      <c r="B263" s="4" t="s">
        <v>1205</v>
      </c>
      <c r="C263" s="4" t="s">
        <v>1223</v>
      </c>
      <c r="D263" s="4" t="s">
        <v>42</v>
      </c>
      <c r="E263" s="4" t="s">
        <v>33</v>
      </c>
      <c r="F263" s="4" t="s">
        <v>33</v>
      </c>
      <c r="G263" s="4" t="s">
        <v>1207</v>
      </c>
      <c r="H263" s="4" t="s">
        <v>1207</v>
      </c>
      <c r="I263" s="4" t="s">
        <v>1208</v>
      </c>
      <c r="J263" s="4" t="s">
        <v>1224</v>
      </c>
      <c r="K263" s="4" t="s">
        <v>1225</v>
      </c>
      <c r="L263" s="6" t="s">
        <v>95</v>
      </c>
    </row>
    <row r="264" spans="1:12" ht="72" customHeight="1">
      <c r="A264" s="4" t="s">
        <v>1226</v>
      </c>
      <c r="B264" s="4" t="s">
        <v>1205</v>
      </c>
      <c r="C264" s="4" t="s">
        <v>1227</v>
      </c>
      <c r="D264" s="4" t="s">
        <v>42</v>
      </c>
      <c r="E264" s="4" t="s">
        <v>33</v>
      </c>
      <c r="F264" s="4" t="s">
        <v>33</v>
      </c>
      <c r="G264" s="4" t="s">
        <v>1207</v>
      </c>
      <c r="H264" s="4" t="s">
        <v>1207</v>
      </c>
      <c r="I264" s="4" t="s">
        <v>1208</v>
      </c>
      <c r="J264" s="4" t="s">
        <v>1228</v>
      </c>
      <c r="K264" s="4" t="s">
        <v>1229</v>
      </c>
      <c r="L264" s="6" t="s">
        <v>518</v>
      </c>
    </row>
    <row r="265" spans="1:12" ht="72" customHeight="1">
      <c r="A265" s="4" t="s">
        <v>1230</v>
      </c>
      <c r="B265" s="4" t="s">
        <v>1205</v>
      </c>
      <c r="C265" s="4" t="s">
        <v>1231</v>
      </c>
      <c r="D265" s="4" t="s">
        <v>42</v>
      </c>
      <c r="E265" s="4" t="s">
        <v>33</v>
      </c>
      <c r="F265" s="4" t="s">
        <v>33</v>
      </c>
      <c r="G265" s="4" t="s">
        <v>1207</v>
      </c>
      <c r="H265" s="4" t="s">
        <v>1207</v>
      </c>
      <c r="I265" s="4" t="s">
        <v>1208</v>
      </c>
      <c r="J265" s="4" t="s">
        <v>1232</v>
      </c>
      <c r="K265" s="4" t="s">
        <v>1233</v>
      </c>
      <c r="L265" s="6" t="s">
        <v>88</v>
      </c>
    </row>
    <row r="266" spans="1:12" ht="72" customHeight="1">
      <c r="A266" s="4" t="s">
        <v>1234</v>
      </c>
      <c r="B266" s="4" t="s">
        <v>1205</v>
      </c>
      <c r="C266" s="4" t="s">
        <v>1235</v>
      </c>
      <c r="D266" s="4" t="s">
        <v>42</v>
      </c>
      <c r="E266" s="4" t="s">
        <v>33</v>
      </c>
      <c r="F266" s="4" t="s">
        <v>33</v>
      </c>
      <c r="G266" s="4" t="s">
        <v>1207</v>
      </c>
      <c r="H266" s="4" t="s">
        <v>1207</v>
      </c>
      <c r="I266" s="4" t="s">
        <v>1208</v>
      </c>
      <c r="J266" s="4" t="s">
        <v>1236</v>
      </c>
      <c r="K266" s="4" t="s">
        <v>1237</v>
      </c>
      <c r="L266" s="6" t="s">
        <v>159</v>
      </c>
    </row>
    <row r="267" spans="1:12" ht="72" customHeight="1">
      <c r="A267" s="4" t="s">
        <v>1238</v>
      </c>
      <c r="B267" s="4" t="s">
        <v>1205</v>
      </c>
      <c r="C267" s="4" t="s">
        <v>1239</v>
      </c>
      <c r="D267" s="4" t="s">
        <v>42</v>
      </c>
      <c r="E267" s="4" t="s">
        <v>33</v>
      </c>
      <c r="F267" s="4" t="s">
        <v>33</v>
      </c>
      <c r="G267" s="4" t="s">
        <v>1207</v>
      </c>
      <c r="H267" s="4" t="s">
        <v>1207</v>
      </c>
      <c r="I267" s="4" t="s">
        <v>1208</v>
      </c>
      <c r="J267" s="4" t="s">
        <v>1240</v>
      </c>
      <c r="K267" s="4" t="s">
        <v>1233</v>
      </c>
      <c r="L267" s="6" t="s">
        <v>103</v>
      </c>
    </row>
    <row r="268" spans="1:12" ht="72" customHeight="1">
      <c r="A268" s="4" t="s">
        <v>1241</v>
      </c>
      <c r="B268" s="4" t="s">
        <v>1242</v>
      </c>
      <c r="C268" s="4" t="s">
        <v>1243</v>
      </c>
      <c r="D268" s="4" t="s">
        <v>42</v>
      </c>
      <c r="E268" s="4" t="s">
        <v>33</v>
      </c>
      <c r="F268" s="4" t="s">
        <v>33</v>
      </c>
      <c r="G268" s="4" t="s">
        <v>1244</v>
      </c>
      <c r="H268" s="4" t="s">
        <v>1245</v>
      </c>
      <c r="I268" s="4" t="s">
        <v>1246</v>
      </c>
      <c r="J268" s="4" t="s">
        <v>1247</v>
      </c>
      <c r="K268" s="4" t="s">
        <v>1248</v>
      </c>
      <c r="L268" s="6" t="s">
        <v>147</v>
      </c>
    </row>
    <row r="269" spans="1:12" ht="72" customHeight="1">
      <c r="A269" s="4" t="s">
        <v>1249</v>
      </c>
      <c r="B269" s="4" t="s">
        <v>1242</v>
      </c>
      <c r="C269" s="4" t="s">
        <v>1250</v>
      </c>
      <c r="D269" s="4" t="s">
        <v>42</v>
      </c>
      <c r="E269" s="4" t="s">
        <v>33</v>
      </c>
      <c r="F269" s="4" t="s">
        <v>33</v>
      </c>
      <c r="G269" s="4" t="s">
        <v>1244</v>
      </c>
      <c r="H269" s="4" t="s">
        <v>1245</v>
      </c>
      <c r="I269" s="4" t="s">
        <v>1246</v>
      </c>
      <c r="J269" s="4" t="s">
        <v>1251</v>
      </c>
      <c r="K269" s="4" t="s">
        <v>1248</v>
      </c>
      <c r="L269" s="6" t="s">
        <v>165</v>
      </c>
    </row>
    <row r="270" spans="1:12" ht="72" customHeight="1">
      <c r="A270" s="4" t="s">
        <v>1252</v>
      </c>
      <c r="B270" s="4" t="s">
        <v>1242</v>
      </c>
      <c r="C270" s="4" t="s">
        <v>1253</v>
      </c>
      <c r="D270" s="4" t="s">
        <v>42</v>
      </c>
      <c r="E270" s="4" t="s">
        <v>33</v>
      </c>
      <c r="F270" s="4" t="s">
        <v>33</v>
      </c>
      <c r="G270" s="4" t="s">
        <v>1244</v>
      </c>
      <c r="H270" s="4" t="s">
        <v>1245</v>
      </c>
      <c r="I270" s="4" t="s">
        <v>1246</v>
      </c>
      <c r="J270" s="4" t="s">
        <v>1254</v>
      </c>
      <c r="K270" s="4" t="s">
        <v>1255</v>
      </c>
      <c r="L270" s="6" t="s">
        <v>110</v>
      </c>
    </row>
    <row r="271" spans="1:12" ht="72" customHeight="1">
      <c r="A271" s="4" t="s">
        <v>1256</v>
      </c>
      <c r="B271" s="4" t="s">
        <v>1257</v>
      </c>
      <c r="C271" s="4" t="s">
        <v>1258</v>
      </c>
      <c r="D271" s="4" t="s">
        <v>42</v>
      </c>
      <c r="E271" s="4" t="s">
        <v>33</v>
      </c>
      <c r="F271" s="4" t="s">
        <v>33</v>
      </c>
      <c r="G271" s="4" t="s">
        <v>1259</v>
      </c>
      <c r="H271" s="4" t="s">
        <v>1260</v>
      </c>
      <c r="I271" s="4" t="s">
        <v>1261</v>
      </c>
      <c r="J271" s="4" t="s">
        <v>1262</v>
      </c>
      <c r="K271" s="4" t="s">
        <v>1263</v>
      </c>
      <c r="L271" s="6" t="s">
        <v>518</v>
      </c>
    </row>
    <row r="272" spans="1:12" ht="72" customHeight="1">
      <c r="A272" s="4" t="s">
        <v>1264</v>
      </c>
      <c r="B272" s="4" t="s">
        <v>1257</v>
      </c>
      <c r="C272" s="4" t="s">
        <v>1265</v>
      </c>
      <c r="D272" s="4" t="s">
        <v>42</v>
      </c>
      <c r="E272" s="4" t="s">
        <v>33</v>
      </c>
      <c r="F272" s="4" t="s">
        <v>33</v>
      </c>
      <c r="G272" s="4" t="s">
        <v>1259</v>
      </c>
      <c r="H272" s="4" t="s">
        <v>1260</v>
      </c>
      <c r="I272" s="4" t="s">
        <v>1261</v>
      </c>
      <c r="J272" s="4" t="s">
        <v>1266</v>
      </c>
      <c r="K272" s="4" t="s">
        <v>1267</v>
      </c>
      <c r="L272" s="6" t="s">
        <v>518</v>
      </c>
    </row>
    <row r="273" spans="1:12" ht="72" customHeight="1">
      <c r="A273" s="4" t="s">
        <v>1268</v>
      </c>
      <c r="B273" s="4" t="s">
        <v>1257</v>
      </c>
      <c r="C273" s="4" t="s">
        <v>1269</v>
      </c>
      <c r="D273" s="4" t="s">
        <v>42</v>
      </c>
      <c r="E273" s="4" t="s">
        <v>33</v>
      </c>
      <c r="F273" s="4" t="s">
        <v>33</v>
      </c>
      <c r="G273" s="4" t="s">
        <v>1259</v>
      </c>
      <c r="H273" s="4" t="s">
        <v>1260</v>
      </c>
      <c r="I273" s="4" t="s">
        <v>1261</v>
      </c>
      <c r="J273" s="4" t="s">
        <v>1270</v>
      </c>
      <c r="K273" s="4" t="s">
        <v>1271</v>
      </c>
      <c r="L273" s="6" t="s">
        <v>518</v>
      </c>
    </row>
    <row r="274" spans="1:12" ht="72" customHeight="1">
      <c r="A274" s="4" t="s">
        <v>1272</v>
      </c>
      <c r="B274" s="4" t="s">
        <v>1257</v>
      </c>
      <c r="C274" s="4" t="s">
        <v>1273</v>
      </c>
      <c r="D274" s="4" t="s">
        <v>42</v>
      </c>
      <c r="E274" s="4" t="s">
        <v>33</v>
      </c>
      <c r="F274" s="4" t="s">
        <v>33</v>
      </c>
      <c r="G274" s="4" t="s">
        <v>1259</v>
      </c>
      <c r="H274" s="4" t="s">
        <v>1260</v>
      </c>
      <c r="I274" s="4" t="s">
        <v>1261</v>
      </c>
      <c r="J274" s="4" t="s">
        <v>1274</v>
      </c>
      <c r="K274" s="4" t="s">
        <v>1275</v>
      </c>
      <c r="L274" s="6" t="s">
        <v>307</v>
      </c>
    </row>
    <row r="275" spans="1:12" ht="72" customHeight="1">
      <c r="A275" s="4" t="s">
        <v>1276</v>
      </c>
      <c r="B275" s="4" t="s">
        <v>1277</v>
      </c>
      <c r="C275" s="4" t="s">
        <v>1278</v>
      </c>
      <c r="D275" s="4" t="s">
        <v>42</v>
      </c>
      <c r="E275" s="4" t="s">
        <v>33</v>
      </c>
      <c r="F275" s="4" t="s">
        <v>33</v>
      </c>
      <c r="G275" s="4" t="s">
        <v>1279</v>
      </c>
      <c r="H275" s="4" t="s">
        <v>1280</v>
      </c>
      <c r="I275" s="4" t="s">
        <v>1281</v>
      </c>
      <c r="J275" s="4" t="s">
        <v>1282</v>
      </c>
      <c r="K275" s="4" t="s">
        <v>1283</v>
      </c>
      <c r="L275" s="6" t="s">
        <v>39</v>
      </c>
    </row>
    <row r="276" spans="1:12" ht="72" customHeight="1">
      <c r="A276" s="4" t="s">
        <v>1284</v>
      </c>
      <c r="B276" s="4" t="s">
        <v>1277</v>
      </c>
      <c r="C276" s="4" t="s">
        <v>1285</v>
      </c>
      <c r="D276" s="4" t="s">
        <v>42</v>
      </c>
      <c r="E276" s="4" t="s">
        <v>33</v>
      </c>
      <c r="F276" s="4" t="s">
        <v>33</v>
      </c>
      <c r="G276" s="4" t="s">
        <v>1279</v>
      </c>
      <c r="H276" s="4" t="s">
        <v>1280</v>
      </c>
      <c r="I276" s="4" t="s">
        <v>1281</v>
      </c>
      <c r="J276" s="4" t="s">
        <v>1286</v>
      </c>
      <c r="K276" s="4" t="s">
        <v>1287</v>
      </c>
      <c r="L276" s="6" t="s">
        <v>95</v>
      </c>
    </row>
    <row r="277" spans="1:12" ht="72" customHeight="1">
      <c r="A277" s="4" t="s">
        <v>1288</v>
      </c>
      <c r="B277" s="4" t="s">
        <v>1277</v>
      </c>
      <c r="C277" s="4" t="s">
        <v>261</v>
      </c>
      <c r="D277" s="4" t="s">
        <v>42</v>
      </c>
      <c r="E277" s="4" t="s">
        <v>33</v>
      </c>
      <c r="F277" s="4" t="s">
        <v>33</v>
      </c>
      <c r="G277" s="4" t="s">
        <v>1279</v>
      </c>
      <c r="H277" s="4" t="s">
        <v>1280</v>
      </c>
      <c r="I277" s="4" t="s">
        <v>1281</v>
      </c>
      <c r="J277" s="4" t="s">
        <v>1289</v>
      </c>
      <c r="K277" s="4" t="s">
        <v>1290</v>
      </c>
      <c r="L277" s="6" t="s">
        <v>165</v>
      </c>
    </row>
    <row r="278" spans="1:12" ht="72" customHeight="1">
      <c r="A278" s="4" t="s">
        <v>1291</v>
      </c>
      <c r="B278" s="4" t="s">
        <v>1277</v>
      </c>
      <c r="C278" s="4" t="s">
        <v>1292</v>
      </c>
      <c r="D278" s="4" t="s">
        <v>42</v>
      </c>
      <c r="E278" s="4" t="s">
        <v>33</v>
      </c>
      <c r="F278" s="4" t="s">
        <v>33</v>
      </c>
      <c r="G278" s="4" t="s">
        <v>1279</v>
      </c>
      <c r="H278" s="4" t="s">
        <v>1280</v>
      </c>
      <c r="I278" s="4" t="s">
        <v>1281</v>
      </c>
      <c r="J278" s="4" t="s">
        <v>1293</v>
      </c>
      <c r="K278" s="4" t="s">
        <v>1290</v>
      </c>
      <c r="L278" s="6" t="s">
        <v>88</v>
      </c>
    </row>
    <row r="279" spans="1:12" ht="72" customHeight="1">
      <c r="A279" s="4" t="s">
        <v>1294</v>
      </c>
      <c r="B279" s="4" t="s">
        <v>1277</v>
      </c>
      <c r="C279" s="4" t="s">
        <v>1295</v>
      </c>
      <c r="D279" s="4" t="s">
        <v>42</v>
      </c>
      <c r="E279" s="4" t="s">
        <v>33</v>
      </c>
      <c r="F279" s="4" t="s">
        <v>33</v>
      </c>
      <c r="G279" s="4" t="s">
        <v>1279</v>
      </c>
      <c r="H279" s="4" t="s">
        <v>1280</v>
      </c>
      <c r="I279" s="4" t="s">
        <v>1281</v>
      </c>
      <c r="J279" s="4" t="s">
        <v>1296</v>
      </c>
      <c r="K279" s="4" t="s">
        <v>1290</v>
      </c>
      <c r="L279" s="6" t="s">
        <v>165</v>
      </c>
    </row>
    <row r="280" spans="1:12" ht="72" customHeight="1">
      <c r="A280" s="4" t="s">
        <v>1297</v>
      </c>
      <c r="B280" s="4" t="s">
        <v>1298</v>
      </c>
      <c r="C280" s="4" t="s">
        <v>1299</v>
      </c>
      <c r="D280" s="4" t="s">
        <v>42</v>
      </c>
      <c r="E280" s="4" t="s">
        <v>33</v>
      </c>
      <c r="F280" s="4" t="s">
        <v>33</v>
      </c>
      <c r="G280" s="4" t="s">
        <v>1300</v>
      </c>
      <c r="H280" s="4" t="s">
        <v>1301</v>
      </c>
      <c r="I280" s="4" t="s">
        <v>1302</v>
      </c>
      <c r="J280" s="4" t="s">
        <v>1303</v>
      </c>
      <c r="K280" s="4" t="s">
        <v>1304</v>
      </c>
      <c r="L280" s="6" t="s">
        <v>141</v>
      </c>
    </row>
    <row r="281" spans="1:12" ht="72" customHeight="1">
      <c r="A281" s="4" t="s">
        <v>1305</v>
      </c>
      <c r="B281" s="4" t="s">
        <v>1298</v>
      </c>
      <c r="C281" s="4" t="s">
        <v>1306</v>
      </c>
      <c r="D281" s="4" t="s">
        <v>42</v>
      </c>
      <c r="E281" s="4" t="s">
        <v>33</v>
      </c>
      <c r="F281" s="4" t="s">
        <v>33</v>
      </c>
      <c r="G281" s="4" t="s">
        <v>1300</v>
      </c>
      <c r="H281" s="4" t="s">
        <v>1301</v>
      </c>
      <c r="I281" s="4" t="s">
        <v>1302</v>
      </c>
      <c r="J281" s="4" t="s">
        <v>1307</v>
      </c>
      <c r="K281" s="4" t="s">
        <v>1308</v>
      </c>
      <c r="L281" s="6" t="s">
        <v>95</v>
      </c>
    </row>
    <row r="282" spans="1:12" ht="72" customHeight="1">
      <c r="A282" s="4" t="s">
        <v>1309</v>
      </c>
      <c r="B282" s="4" t="s">
        <v>1298</v>
      </c>
      <c r="C282" s="4" t="s">
        <v>1310</v>
      </c>
      <c r="D282" s="4" t="s">
        <v>42</v>
      </c>
      <c r="E282" s="4" t="s">
        <v>33</v>
      </c>
      <c r="F282" s="4" t="s">
        <v>33</v>
      </c>
      <c r="G282" s="4" t="s">
        <v>1300</v>
      </c>
      <c r="H282" s="4" t="s">
        <v>1301</v>
      </c>
      <c r="I282" s="4" t="s">
        <v>1302</v>
      </c>
      <c r="J282" s="4" t="s">
        <v>1311</v>
      </c>
      <c r="K282" s="4" t="s">
        <v>1312</v>
      </c>
      <c r="L282" s="6" t="s">
        <v>518</v>
      </c>
    </row>
    <row r="283" spans="1:12" ht="72" customHeight="1">
      <c r="A283" s="4" t="s">
        <v>1313</v>
      </c>
      <c r="B283" s="4" t="s">
        <v>1298</v>
      </c>
      <c r="C283" s="4" t="s">
        <v>1314</v>
      </c>
      <c r="D283" s="4" t="s">
        <v>42</v>
      </c>
      <c r="E283" s="4" t="s">
        <v>33</v>
      </c>
      <c r="F283" s="4" t="s">
        <v>33</v>
      </c>
      <c r="G283" s="4" t="s">
        <v>1300</v>
      </c>
      <c r="H283" s="4" t="s">
        <v>1301</v>
      </c>
      <c r="I283" s="4" t="s">
        <v>1302</v>
      </c>
      <c r="J283" s="4" t="s">
        <v>1315</v>
      </c>
      <c r="K283" s="4" t="s">
        <v>1316</v>
      </c>
      <c r="L283" s="6" t="s">
        <v>88</v>
      </c>
    </row>
    <row r="284" spans="1:12" ht="72" customHeight="1">
      <c r="A284" s="4" t="s">
        <v>1317</v>
      </c>
      <c r="B284" s="4" t="s">
        <v>1298</v>
      </c>
      <c r="C284" s="4" t="s">
        <v>1318</v>
      </c>
      <c r="D284" s="4" t="s">
        <v>42</v>
      </c>
      <c r="E284" s="4" t="s">
        <v>33</v>
      </c>
      <c r="F284" s="4" t="s">
        <v>33</v>
      </c>
      <c r="G284" s="4" t="s">
        <v>1300</v>
      </c>
      <c r="H284" s="4" t="s">
        <v>1301</v>
      </c>
      <c r="I284" s="4" t="s">
        <v>1302</v>
      </c>
      <c r="J284" s="4" t="s">
        <v>1319</v>
      </c>
      <c r="K284" s="4" t="s">
        <v>1320</v>
      </c>
      <c r="L284" s="6" t="s">
        <v>116</v>
      </c>
    </row>
    <row r="285" spans="1:12" ht="72" customHeight="1">
      <c r="A285" s="4" t="s">
        <v>1321</v>
      </c>
      <c r="B285" s="4" t="s">
        <v>1298</v>
      </c>
      <c r="C285" s="4" t="s">
        <v>1322</v>
      </c>
      <c r="D285" s="4" t="s">
        <v>42</v>
      </c>
      <c r="E285" s="4" t="s">
        <v>33</v>
      </c>
      <c r="F285" s="4" t="s">
        <v>33</v>
      </c>
      <c r="G285" s="4" t="s">
        <v>1300</v>
      </c>
      <c r="H285" s="4" t="s">
        <v>1301</v>
      </c>
      <c r="I285" s="4" t="s">
        <v>1302</v>
      </c>
      <c r="J285" s="4" t="s">
        <v>1323</v>
      </c>
      <c r="K285" s="4" t="s">
        <v>1316</v>
      </c>
      <c r="L285" s="6" t="s">
        <v>95</v>
      </c>
    </row>
    <row r="286" spans="1:12" ht="72" customHeight="1">
      <c r="A286" s="4" t="s">
        <v>1324</v>
      </c>
      <c r="B286" s="4" t="s">
        <v>1298</v>
      </c>
      <c r="C286" s="4" t="s">
        <v>1325</v>
      </c>
      <c r="D286" s="4" t="s">
        <v>42</v>
      </c>
      <c r="E286" s="4" t="s">
        <v>33</v>
      </c>
      <c r="F286" s="4" t="s">
        <v>33</v>
      </c>
      <c r="G286" s="4" t="s">
        <v>1300</v>
      </c>
      <c r="H286" s="4" t="s">
        <v>1301</v>
      </c>
      <c r="I286" s="4" t="s">
        <v>1302</v>
      </c>
      <c r="J286" s="4" t="s">
        <v>1326</v>
      </c>
      <c r="K286" s="4" t="s">
        <v>1304</v>
      </c>
      <c r="L286" s="6" t="s">
        <v>165</v>
      </c>
    </row>
    <row r="287" spans="1:12" ht="72" customHeight="1">
      <c r="A287" s="4" t="s">
        <v>1327</v>
      </c>
      <c r="B287" s="4" t="s">
        <v>1328</v>
      </c>
      <c r="C287" s="4" t="s">
        <v>1329</v>
      </c>
      <c r="D287" s="4" t="s">
        <v>42</v>
      </c>
      <c r="E287" s="4" t="s">
        <v>33</v>
      </c>
      <c r="F287" s="4" t="s">
        <v>33</v>
      </c>
      <c r="G287" s="4" t="s">
        <v>1330</v>
      </c>
      <c r="H287" s="4" t="s">
        <v>1331</v>
      </c>
      <c r="I287" s="4" t="s">
        <v>1332</v>
      </c>
      <c r="J287" s="4" t="s">
        <v>1333</v>
      </c>
      <c r="K287" s="4" t="s">
        <v>1334</v>
      </c>
      <c r="L287" s="6" t="s">
        <v>147</v>
      </c>
    </row>
    <row r="288" spans="1:12" ht="72" customHeight="1">
      <c r="A288" s="4" t="s">
        <v>1335</v>
      </c>
      <c r="B288" s="4" t="s">
        <v>1328</v>
      </c>
      <c r="C288" s="4" t="s">
        <v>1336</v>
      </c>
      <c r="D288" s="4" t="s">
        <v>42</v>
      </c>
      <c r="E288" s="4" t="s">
        <v>33</v>
      </c>
      <c r="F288" s="4" t="s">
        <v>33</v>
      </c>
      <c r="G288" s="4" t="s">
        <v>1330</v>
      </c>
      <c r="H288" s="4" t="s">
        <v>1331</v>
      </c>
      <c r="I288" s="4" t="s">
        <v>1332</v>
      </c>
      <c r="J288" s="4" t="s">
        <v>1337</v>
      </c>
      <c r="K288" s="4" t="s">
        <v>1338</v>
      </c>
      <c r="L288" s="6" t="s">
        <v>95</v>
      </c>
    </row>
    <row r="289" spans="1:12" ht="72" customHeight="1">
      <c r="A289" s="4" t="s">
        <v>1339</v>
      </c>
      <c r="B289" s="4" t="s">
        <v>1328</v>
      </c>
      <c r="C289" s="4" t="s">
        <v>1340</v>
      </c>
      <c r="D289" s="4" t="s">
        <v>42</v>
      </c>
      <c r="E289" s="4" t="s">
        <v>33</v>
      </c>
      <c r="F289" s="4" t="s">
        <v>33</v>
      </c>
      <c r="G289" s="4" t="s">
        <v>1330</v>
      </c>
      <c r="H289" s="4" t="s">
        <v>1331</v>
      </c>
      <c r="I289" s="4" t="s">
        <v>1332</v>
      </c>
      <c r="J289" s="4" t="s">
        <v>1341</v>
      </c>
      <c r="K289" s="4" t="s">
        <v>1334</v>
      </c>
      <c r="L289" s="6" t="s">
        <v>88</v>
      </c>
    </row>
    <row r="290" spans="1:12" ht="72" customHeight="1">
      <c r="A290" s="4" t="s">
        <v>1342</v>
      </c>
      <c r="B290" s="4" t="s">
        <v>1328</v>
      </c>
      <c r="C290" s="4" t="s">
        <v>1343</v>
      </c>
      <c r="D290" s="4" t="s">
        <v>42</v>
      </c>
      <c r="E290" s="4" t="s">
        <v>33</v>
      </c>
      <c r="F290" s="4" t="s">
        <v>33</v>
      </c>
      <c r="G290" s="4" t="s">
        <v>1330</v>
      </c>
      <c r="H290" s="4" t="s">
        <v>1331</v>
      </c>
      <c r="I290" s="4" t="s">
        <v>1332</v>
      </c>
      <c r="J290" s="4" t="s">
        <v>1344</v>
      </c>
      <c r="K290" s="4" t="s">
        <v>1334</v>
      </c>
      <c r="L290" s="6" t="s">
        <v>110</v>
      </c>
    </row>
    <row r="291" spans="1:12" ht="72" customHeight="1">
      <c r="A291" s="4" t="s">
        <v>1345</v>
      </c>
      <c r="B291" s="4" t="s">
        <v>1346</v>
      </c>
      <c r="C291" s="4" t="s">
        <v>1347</v>
      </c>
      <c r="D291" s="4" t="s">
        <v>42</v>
      </c>
      <c r="E291" s="4" t="s">
        <v>33</v>
      </c>
      <c r="F291" s="4" t="s">
        <v>33</v>
      </c>
      <c r="G291" s="4" t="s">
        <v>1348</v>
      </c>
      <c r="H291" s="4" t="s">
        <v>1348</v>
      </c>
      <c r="I291" s="4" t="s">
        <v>1349</v>
      </c>
      <c r="J291" s="4" t="s">
        <v>1350</v>
      </c>
      <c r="K291" s="4" t="s">
        <v>1351</v>
      </c>
      <c r="L291" s="6" t="s">
        <v>147</v>
      </c>
    </row>
    <row r="292" spans="1:12" ht="72" customHeight="1">
      <c r="A292" s="4" t="s">
        <v>1352</v>
      </c>
      <c r="B292" s="4" t="s">
        <v>1346</v>
      </c>
      <c r="C292" s="4" t="s">
        <v>1353</v>
      </c>
      <c r="D292" s="4" t="s">
        <v>42</v>
      </c>
      <c r="E292" s="4" t="s">
        <v>33</v>
      </c>
      <c r="F292" s="4" t="s">
        <v>33</v>
      </c>
      <c r="G292" s="4" t="s">
        <v>1348</v>
      </c>
      <c r="H292" s="4" t="s">
        <v>1348</v>
      </c>
      <c r="I292" s="4" t="s">
        <v>1349</v>
      </c>
      <c r="J292" s="4" t="s">
        <v>1354</v>
      </c>
      <c r="K292" s="4" t="s">
        <v>1355</v>
      </c>
      <c r="L292" s="6" t="s">
        <v>95</v>
      </c>
    </row>
    <row r="293" spans="1:12" ht="72" customHeight="1">
      <c r="A293" s="4" t="s">
        <v>1356</v>
      </c>
      <c r="B293" s="4" t="s">
        <v>1346</v>
      </c>
      <c r="C293" s="4" t="s">
        <v>1357</v>
      </c>
      <c r="D293" s="4" t="s">
        <v>42</v>
      </c>
      <c r="E293" s="4" t="s">
        <v>33</v>
      </c>
      <c r="F293" s="4" t="s">
        <v>33</v>
      </c>
      <c r="G293" s="4" t="s">
        <v>1348</v>
      </c>
      <c r="H293" s="4" t="s">
        <v>1348</v>
      </c>
      <c r="I293" s="4" t="s">
        <v>1349</v>
      </c>
      <c r="J293" s="4" t="s">
        <v>1358</v>
      </c>
      <c r="K293" s="4" t="s">
        <v>1359</v>
      </c>
      <c r="L293" s="6" t="s">
        <v>165</v>
      </c>
    </row>
    <row r="294" spans="1:12" ht="72" customHeight="1">
      <c r="A294" s="4" t="s">
        <v>1360</v>
      </c>
      <c r="B294" s="4" t="s">
        <v>1346</v>
      </c>
      <c r="C294" s="4" t="s">
        <v>1361</v>
      </c>
      <c r="D294" s="4" t="s">
        <v>42</v>
      </c>
      <c r="E294" s="4" t="s">
        <v>33</v>
      </c>
      <c r="F294" s="4" t="s">
        <v>33</v>
      </c>
      <c r="G294" s="4" t="s">
        <v>1348</v>
      </c>
      <c r="H294" s="4" t="s">
        <v>1348</v>
      </c>
      <c r="I294" s="4" t="s">
        <v>1349</v>
      </c>
      <c r="J294" s="4" t="s">
        <v>1362</v>
      </c>
      <c r="K294" s="4" t="s">
        <v>1359</v>
      </c>
      <c r="L294" s="6" t="s">
        <v>518</v>
      </c>
    </row>
    <row r="295" spans="1:12" ht="72" customHeight="1">
      <c r="A295" s="4" t="s">
        <v>1363</v>
      </c>
      <c r="B295" s="4" t="s">
        <v>1346</v>
      </c>
      <c r="C295" s="4" t="s">
        <v>1364</v>
      </c>
      <c r="D295" s="4" t="s">
        <v>42</v>
      </c>
      <c r="E295" s="4" t="s">
        <v>33</v>
      </c>
      <c r="F295" s="4" t="s">
        <v>33</v>
      </c>
      <c r="G295" s="4" t="s">
        <v>1348</v>
      </c>
      <c r="H295" s="4" t="s">
        <v>1348</v>
      </c>
      <c r="I295" s="4" t="s">
        <v>1349</v>
      </c>
      <c r="J295" s="4" t="s">
        <v>1365</v>
      </c>
      <c r="K295" s="4" t="s">
        <v>1359</v>
      </c>
      <c r="L295" s="6" t="s">
        <v>88</v>
      </c>
    </row>
    <row r="296" spans="1:12" ht="72" customHeight="1">
      <c r="A296" s="4" t="s">
        <v>1366</v>
      </c>
      <c r="B296" s="4" t="s">
        <v>1367</v>
      </c>
      <c r="C296" s="4" t="s">
        <v>1368</v>
      </c>
      <c r="D296" s="4" t="s">
        <v>42</v>
      </c>
      <c r="E296" s="4" t="s">
        <v>33</v>
      </c>
      <c r="F296" s="4" t="s">
        <v>33</v>
      </c>
      <c r="G296" s="4" t="s">
        <v>1369</v>
      </c>
      <c r="H296" s="4" t="s">
        <v>1369</v>
      </c>
      <c r="I296" s="4" t="s">
        <v>1370</v>
      </c>
      <c r="J296" s="4" t="s">
        <v>1371</v>
      </c>
      <c r="K296" s="4" t="s">
        <v>1372</v>
      </c>
      <c r="L296" s="6" t="s">
        <v>165</v>
      </c>
    </row>
    <row r="297" spans="1:12" ht="72" customHeight="1">
      <c r="A297" s="4" t="s">
        <v>1373</v>
      </c>
      <c r="B297" s="4" t="s">
        <v>1367</v>
      </c>
      <c r="C297" s="4" t="s">
        <v>1374</v>
      </c>
      <c r="D297" s="4" t="s">
        <v>42</v>
      </c>
      <c r="E297" s="4" t="s">
        <v>33</v>
      </c>
      <c r="F297" s="4" t="s">
        <v>33</v>
      </c>
      <c r="G297" s="4" t="s">
        <v>1369</v>
      </c>
      <c r="H297" s="4" t="s">
        <v>1369</v>
      </c>
      <c r="I297" s="4" t="s">
        <v>1370</v>
      </c>
      <c r="J297" s="4" t="s">
        <v>1375</v>
      </c>
      <c r="K297" s="4" t="s">
        <v>1372</v>
      </c>
      <c r="L297" s="6" t="s">
        <v>110</v>
      </c>
    </row>
    <row r="298" spans="1:12" ht="72" customHeight="1">
      <c r="A298" s="4" t="s">
        <v>1376</v>
      </c>
      <c r="B298" s="4" t="s">
        <v>1377</v>
      </c>
      <c r="C298" s="4" t="s">
        <v>1378</v>
      </c>
      <c r="D298" s="4" t="s">
        <v>42</v>
      </c>
      <c r="E298" s="4" t="s">
        <v>33</v>
      </c>
      <c r="F298" s="4" t="s">
        <v>33</v>
      </c>
      <c r="G298" s="4" t="s">
        <v>1379</v>
      </c>
      <c r="H298" s="4" t="s">
        <v>1379</v>
      </c>
      <c r="I298" s="4" t="s">
        <v>1380</v>
      </c>
      <c r="J298" s="4" t="s">
        <v>1381</v>
      </c>
      <c r="K298" s="4" t="s">
        <v>1382</v>
      </c>
      <c r="L298" s="6" t="s">
        <v>518</v>
      </c>
    </row>
    <row r="299" spans="1:12" ht="72" customHeight="1">
      <c r="A299" s="4" t="s">
        <v>1383</v>
      </c>
      <c r="B299" s="4" t="s">
        <v>1377</v>
      </c>
      <c r="C299" s="4" t="s">
        <v>1384</v>
      </c>
      <c r="D299" s="4" t="s">
        <v>42</v>
      </c>
      <c r="E299" s="4" t="s">
        <v>33</v>
      </c>
      <c r="F299" s="4" t="s">
        <v>33</v>
      </c>
      <c r="G299" s="4" t="s">
        <v>1379</v>
      </c>
      <c r="H299" s="4" t="s">
        <v>1379</v>
      </c>
      <c r="I299" s="4" t="s">
        <v>1380</v>
      </c>
      <c r="J299" s="4" t="s">
        <v>1385</v>
      </c>
      <c r="K299" s="4" t="s">
        <v>1386</v>
      </c>
      <c r="L299" s="6" t="s">
        <v>95</v>
      </c>
    </row>
    <row r="300" spans="1:12" ht="72" customHeight="1">
      <c r="A300" s="4" t="s">
        <v>1387</v>
      </c>
      <c r="B300" s="4" t="s">
        <v>1377</v>
      </c>
      <c r="C300" s="4" t="s">
        <v>1388</v>
      </c>
      <c r="D300" s="4" t="s">
        <v>42</v>
      </c>
      <c r="E300" s="4" t="s">
        <v>33</v>
      </c>
      <c r="F300" s="4" t="s">
        <v>33</v>
      </c>
      <c r="G300" s="4" t="s">
        <v>1379</v>
      </c>
      <c r="H300" s="4" t="s">
        <v>1379</v>
      </c>
      <c r="I300" s="4" t="s">
        <v>1380</v>
      </c>
      <c r="J300" s="4" t="s">
        <v>1389</v>
      </c>
      <c r="K300" s="4" t="s">
        <v>1390</v>
      </c>
      <c r="L300" s="6" t="s">
        <v>311</v>
      </c>
    </row>
    <row r="301" spans="1:12" ht="72" customHeight="1">
      <c r="A301" s="4" t="s">
        <v>1391</v>
      </c>
      <c r="B301" s="4" t="s">
        <v>1377</v>
      </c>
      <c r="C301" s="4" t="s">
        <v>1392</v>
      </c>
      <c r="D301" s="4" t="s">
        <v>42</v>
      </c>
      <c r="E301" s="4" t="s">
        <v>33</v>
      </c>
      <c r="F301" s="4" t="s">
        <v>33</v>
      </c>
      <c r="G301" s="4" t="s">
        <v>1379</v>
      </c>
      <c r="H301" s="4" t="s">
        <v>1379</v>
      </c>
      <c r="I301" s="4" t="s">
        <v>1380</v>
      </c>
      <c r="J301" s="4" t="s">
        <v>1393</v>
      </c>
      <c r="K301" s="4" t="s">
        <v>1390</v>
      </c>
      <c r="L301" s="6" t="s">
        <v>165</v>
      </c>
    </row>
    <row r="302" spans="1:12" ht="72" customHeight="1">
      <c r="A302" s="4" t="s">
        <v>1394</v>
      </c>
      <c r="B302" s="4" t="s">
        <v>1377</v>
      </c>
      <c r="C302" s="4" t="s">
        <v>1395</v>
      </c>
      <c r="D302" s="4" t="s">
        <v>42</v>
      </c>
      <c r="E302" s="4" t="s">
        <v>33</v>
      </c>
      <c r="F302" s="4" t="s">
        <v>33</v>
      </c>
      <c r="G302" s="4" t="s">
        <v>1379</v>
      </c>
      <c r="H302" s="4" t="s">
        <v>1379</v>
      </c>
      <c r="I302" s="4" t="s">
        <v>1380</v>
      </c>
      <c r="J302" s="4" t="s">
        <v>1396</v>
      </c>
      <c r="K302" s="4" t="s">
        <v>1390</v>
      </c>
      <c r="L302" s="6" t="s">
        <v>39</v>
      </c>
    </row>
    <row r="303" spans="1:12" ht="72" customHeight="1">
      <c r="A303" s="4" t="s">
        <v>1397</v>
      </c>
      <c r="B303" s="4" t="s">
        <v>1398</v>
      </c>
      <c r="C303" s="4" t="s">
        <v>1399</v>
      </c>
      <c r="D303" s="4" t="s">
        <v>42</v>
      </c>
      <c r="E303" s="4" t="s">
        <v>33</v>
      </c>
      <c r="F303" s="4" t="s">
        <v>33</v>
      </c>
      <c r="G303" s="4" t="s">
        <v>1400</v>
      </c>
      <c r="H303" s="4" t="s">
        <v>1400</v>
      </c>
      <c r="I303" s="4" t="s">
        <v>1401</v>
      </c>
      <c r="J303" s="4" t="s">
        <v>1402</v>
      </c>
      <c r="K303" s="4" t="s">
        <v>1403</v>
      </c>
      <c r="L303" s="6" t="s">
        <v>95</v>
      </c>
    </row>
    <row r="304" spans="1:12" ht="72" customHeight="1">
      <c r="A304" s="4" t="s">
        <v>1404</v>
      </c>
      <c r="B304" s="4" t="s">
        <v>1398</v>
      </c>
      <c r="C304" s="4" t="s">
        <v>1405</v>
      </c>
      <c r="D304" s="4" t="s">
        <v>42</v>
      </c>
      <c r="E304" s="4" t="s">
        <v>33</v>
      </c>
      <c r="F304" s="4" t="s">
        <v>33</v>
      </c>
      <c r="G304" s="4" t="s">
        <v>1400</v>
      </c>
      <c r="H304" s="4" t="s">
        <v>1400</v>
      </c>
      <c r="I304" s="4" t="s">
        <v>1401</v>
      </c>
      <c r="J304" s="4" t="s">
        <v>1406</v>
      </c>
      <c r="K304" s="4" t="s">
        <v>1407</v>
      </c>
      <c r="L304" s="6" t="s">
        <v>147</v>
      </c>
    </row>
    <row r="305" spans="1:12" ht="72" customHeight="1">
      <c r="A305" s="4" t="s">
        <v>1408</v>
      </c>
      <c r="B305" s="4" t="s">
        <v>1398</v>
      </c>
      <c r="C305" s="4" t="s">
        <v>1409</v>
      </c>
      <c r="D305" s="4" t="s">
        <v>42</v>
      </c>
      <c r="E305" s="4" t="s">
        <v>33</v>
      </c>
      <c r="F305" s="4" t="s">
        <v>33</v>
      </c>
      <c r="G305" s="4" t="s">
        <v>1400</v>
      </c>
      <c r="H305" s="4" t="s">
        <v>1400</v>
      </c>
      <c r="I305" s="4" t="s">
        <v>1401</v>
      </c>
      <c r="J305" s="4" t="s">
        <v>1410</v>
      </c>
      <c r="K305" s="4" t="s">
        <v>1411</v>
      </c>
      <c r="L305" s="6" t="s">
        <v>81</v>
      </c>
    </row>
    <row r="306" spans="1:12" ht="72" customHeight="1">
      <c r="A306" s="4" t="s">
        <v>1412</v>
      </c>
      <c r="B306" s="4" t="s">
        <v>1398</v>
      </c>
      <c r="C306" s="4" t="s">
        <v>1413</v>
      </c>
      <c r="D306" s="4" t="s">
        <v>42</v>
      </c>
      <c r="E306" s="4" t="s">
        <v>33</v>
      </c>
      <c r="F306" s="4" t="s">
        <v>33</v>
      </c>
      <c r="G306" s="4" t="s">
        <v>1400</v>
      </c>
      <c r="H306" s="4" t="s">
        <v>1400</v>
      </c>
      <c r="I306" s="4" t="s">
        <v>1401</v>
      </c>
      <c r="J306" s="4" t="s">
        <v>1414</v>
      </c>
      <c r="K306" s="4" t="s">
        <v>1415</v>
      </c>
      <c r="L306" s="6" t="s">
        <v>116</v>
      </c>
    </row>
    <row r="307" spans="1:12" ht="72" customHeight="1">
      <c r="A307" s="4" t="s">
        <v>1416</v>
      </c>
      <c r="B307" s="4" t="s">
        <v>1417</v>
      </c>
      <c r="C307" s="4" t="s">
        <v>1418</v>
      </c>
      <c r="D307" s="4" t="s">
        <v>42</v>
      </c>
      <c r="E307" s="4" t="s">
        <v>33</v>
      </c>
      <c r="F307" s="4" t="s">
        <v>33</v>
      </c>
      <c r="G307" s="4" t="s">
        <v>1419</v>
      </c>
      <c r="H307" s="4" t="s">
        <v>1419</v>
      </c>
      <c r="I307" s="4" t="s">
        <v>1420</v>
      </c>
      <c r="J307" s="4" t="s">
        <v>1421</v>
      </c>
      <c r="K307" s="4" t="s">
        <v>1422</v>
      </c>
      <c r="L307" s="6" t="s">
        <v>39</v>
      </c>
    </row>
    <row r="308" spans="1:12" ht="72" customHeight="1">
      <c r="A308" s="4" t="s">
        <v>1423</v>
      </c>
      <c r="B308" s="4" t="s">
        <v>1417</v>
      </c>
      <c r="C308" s="4" t="s">
        <v>1424</v>
      </c>
      <c r="D308" s="4" t="s">
        <v>42</v>
      </c>
      <c r="E308" s="4" t="s">
        <v>33</v>
      </c>
      <c r="F308" s="4" t="s">
        <v>33</v>
      </c>
      <c r="G308" s="4" t="s">
        <v>1419</v>
      </c>
      <c r="H308" s="4" t="s">
        <v>1419</v>
      </c>
      <c r="I308" s="4" t="s">
        <v>1420</v>
      </c>
      <c r="J308" s="4" t="s">
        <v>1425</v>
      </c>
      <c r="K308" s="4" t="s">
        <v>1426</v>
      </c>
      <c r="L308" s="6" t="s">
        <v>88</v>
      </c>
    </row>
    <row r="309" spans="1:12" ht="72" customHeight="1">
      <c r="A309" s="4" t="s">
        <v>1427</v>
      </c>
      <c r="B309" s="4" t="s">
        <v>1417</v>
      </c>
      <c r="C309" s="4" t="s">
        <v>1428</v>
      </c>
      <c r="D309" s="4" t="s">
        <v>42</v>
      </c>
      <c r="E309" s="4" t="s">
        <v>33</v>
      </c>
      <c r="F309" s="4" t="s">
        <v>33</v>
      </c>
      <c r="G309" s="4" t="s">
        <v>1419</v>
      </c>
      <c r="H309" s="4" t="s">
        <v>1419</v>
      </c>
      <c r="I309" s="4" t="s">
        <v>1420</v>
      </c>
      <c r="J309" s="4" t="s">
        <v>1429</v>
      </c>
      <c r="K309" s="4" t="s">
        <v>1430</v>
      </c>
      <c r="L309" s="6" t="s">
        <v>165</v>
      </c>
    </row>
    <row r="310" spans="1:12" ht="72" customHeight="1">
      <c r="A310" s="4" t="s">
        <v>1431</v>
      </c>
      <c r="B310" s="4" t="s">
        <v>1432</v>
      </c>
      <c r="C310" s="4" t="s">
        <v>1433</v>
      </c>
      <c r="D310" s="4" t="s">
        <v>42</v>
      </c>
      <c r="E310" s="4" t="s">
        <v>33</v>
      </c>
      <c r="F310" s="4" t="s">
        <v>33</v>
      </c>
      <c r="G310" s="4" t="s">
        <v>1434</v>
      </c>
      <c r="H310" s="4" t="s">
        <v>1434</v>
      </c>
      <c r="I310" s="4" t="s">
        <v>1435</v>
      </c>
      <c r="J310" s="4" t="s">
        <v>1436</v>
      </c>
      <c r="K310" s="4" t="s">
        <v>1437</v>
      </c>
      <c r="L310" s="6" t="s">
        <v>88</v>
      </c>
    </row>
    <row r="311" spans="1:12" ht="72" customHeight="1">
      <c r="A311" s="4" t="s">
        <v>1438</v>
      </c>
      <c r="B311" s="4" t="s">
        <v>1432</v>
      </c>
      <c r="C311" s="4" t="s">
        <v>1439</v>
      </c>
      <c r="D311" s="4" t="s">
        <v>42</v>
      </c>
      <c r="E311" s="4" t="s">
        <v>33</v>
      </c>
      <c r="F311" s="4" t="s">
        <v>33</v>
      </c>
      <c r="G311" s="4" t="s">
        <v>1434</v>
      </c>
      <c r="H311" s="4" t="s">
        <v>1434</v>
      </c>
      <c r="I311" s="4" t="s">
        <v>1435</v>
      </c>
      <c r="J311" s="4" t="s">
        <v>1440</v>
      </c>
      <c r="K311" s="4" t="s">
        <v>1437</v>
      </c>
      <c r="L311" s="6" t="s">
        <v>141</v>
      </c>
    </row>
    <row r="312" spans="1:12" ht="72" customHeight="1">
      <c r="A312" s="4" t="s">
        <v>1441</v>
      </c>
      <c r="B312" s="4" t="s">
        <v>1432</v>
      </c>
      <c r="C312" s="4" t="s">
        <v>1442</v>
      </c>
      <c r="D312" s="4" t="s">
        <v>42</v>
      </c>
      <c r="E312" s="4" t="s">
        <v>33</v>
      </c>
      <c r="F312" s="4" t="s">
        <v>33</v>
      </c>
      <c r="G312" s="4" t="s">
        <v>1434</v>
      </c>
      <c r="H312" s="4" t="s">
        <v>1434</v>
      </c>
      <c r="I312" s="4" t="s">
        <v>1435</v>
      </c>
      <c r="J312" s="4" t="s">
        <v>1443</v>
      </c>
      <c r="K312" s="4" t="s">
        <v>1444</v>
      </c>
      <c r="L312" s="6" t="s">
        <v>165</v>
      </c>
    </row>
    <row r="313" spans="1:12" ht="72" customHeight="1">
      <c r="A313" s="4" t="s">
        <v>1445</v>
      </c>
      <c r="B313" s="4" t="s">
        <v>1446</v>
      </c>
      <c r="C313" s="4" t="s">
        <v>1447</v>
      </c>
      <c r="D313" s="4" t="s">
        <v>42</v>
      </c>
      <c r="E313" s="4" t="s">
        <v>33</v>
      </c>
      <c r="F313" s="4" t="s">
        <v>33</v>
      </c>
      <c r="G313" s="4" t="s">
        <v>1448</v>
      </c>
      <c r="H313" s="4" t="s">
        <v>1448</v>
      </c>
      <c r="I313" s="4" t="s">
        <v>1449</v>
      </c>
      <c r="J313" s="4" t="s">
        <v>1450</v>
      </c>
      <c r="K313" s="4" t="s">
        <v>1451</v>
      </c>
      <c r="L313" s="6" t="s">
        <v>39</v>
      </c>
    </row>
    <row r="314" spans="1:12" ht="72" customHeight="1">
      <c r="A314" s="4" t="s">
        <v>1452</v>
      </c>
      <c r="B314" s="4" t="s">
        <v>1446</v>
      </c>
      <c r="C314" s="4" t="s">
        <v>1453</v>
      </c>
      <c r="D314" s="4" t="s">
        <v>42</v>
      </c>
      <c r="E314" s="4" t="s">
        <v>33</v>
      </c>
      <c r="F314" s="4" t="s">
        <v>33</v>
      </c>
      <c r="G314" s="4" t="s">
        <v>1448</v>
      </c>
      <c r="H314" s="4" t="s">
        <v>1448</v>
      </c>
      <c r="I314" s="4" t="s">
        <v>1449</v>
      </c>
      <c r="J314" s="4" t="s">
        <v>1454</v>
      </c>
      <c r="K314" s="4" t="s">
        <v>1455</v>
      </c>
      <c r="L314" s="6" t="s">
        <v>518</v>
      </c>
    </row>
    <row r="315" spans="1:12" ht="72" customHeight="1">
      <c r="A315" s="4" t="s">
        <v>1456</v>
      </c>
      <c r="B315" s="4" t="s">
        <v>1446</v>
      </c>
      <c r="C315" s="4" t="s">
        <v>1457</v>
      </c>
      <c r="D315" s="4" t="s">
        <v>42</v>
      </c>
      <c r="E315" s="4" t="s">
        <v>33</v>
      </c>
      <c r="F315" s="4" t="s">
        <v>33</v>
      </c>
      <c r="G315" s="4" t="s">
        <v>1448</v>
      </c>
      <c r="H315" s="4" t="s">
        <v>1448</v>
      </c>
      <c r="I315" s="4" t="s">
        <v>1449</v>
      </c>
      <c r="J315" s="4" t="s">
        <v>1458</v>
      </c>
      <c r="K315" s="4" t="s">
        <v>1459</v>
      </c>
      <c r="L315" s="6" t="s">
        <v>1045</v>
      </c>
    </row>
    <row r="316" spans="1:12" ht="72" customHeight="1">
      <c r="A316" s="4" t="s">
        <v>1460</v>
      </c>
      <c r="B316" s="4" t="s">
        <v>1446</v>
      </c>
      <c r="C316" s="4" t="s">
        <v>1461</v>
      </c>
      <c r="D316" s="4" t="s">
        <v>42</v>
      </c>
      <c r="E316" s="4" t="s">
        <v>33</v>
      </c>
      <c r="F316" s="4" t="s">
        <v>33</v>
      </c>
      <c r="G316" s="4" t="s">
        <v>1448</v>
      </c>
      <c r="H316" s="4" t="s">
        <v>1448</v>
      </c>
      <c r="I316" s="4" t="s">
        <v>1449</v>
      </c>
      <c r="J316" s="4" t="s">
        <v>1462</v>
      </c>
      <c r="K316" s="4" t="s">
        <v>1463</v>
      </c>
      <c r="L316" s="6" t="s">
        <v>88</v>
      </c>
    </row>
    <row r="317" spans="1:12" ht="72" customHeight="1">
      <c r="A317" s="4" t="s">
        <v>1464</v>
      </c>
      <c r="B317" s="4" t="s">
        <v>1446</v>
      </c>
      <c r="C317" s="4" t="s">
        <v>1465</v>
      </c>
      <c r="D317" s="4" t="s">
        <v>42</v>
      </c>
      <c r="E317" s="4" t="s">
        <v>33</v>
      </c>
      <c r="F317" s="4" t="s">
        <v>33</v>
      </c>
      <c r="G317" s="4" t="s">
        <v>1448</v>
      </c>
      <c r="H317" s="4" t="s">
        <v>1448</v>
      </c>
      <c r="I317" s="4" t="s">
        <v>1449</v>
      </c>
      <c r="J317" s="4" t="s">
        <v>1466</v>
      </c>
      <c r="K317" s="4" t="s">
        <v>1463</v>
      </c>
      <c r="L317" s="6" t="s">
        <v>116</v>
      </c>
    </row>
    <row r="318" spans="1:12" ht="72" customHeight="1">
      <c r="A318" s="4" t="s">
        <v>1467</v>
      </c>
      <c r="B318" s="4" t="s">
        <v>1468</v>
      </c>
      <c r="C318" s="4" t="s">
        <v>1469</v>
      </c>
      <c r="D318" s="4" t="s">
        <v>42</v>
      </c>
      <c r="E318" s="4" t="s">
        <v>33</v>
      </c>
      <c r="F318" s="4" t="s">
        <v>33</v>
      </c>
      <c r="G318" s="4" t="s">
        <v>1470</v>
      </c>
      <c r="H318" s="4" t="s">
        <v>1470</v>
      </c>
      <c r="I318" s="4" t="s">
        <v>1471</v>
      </c>
      <c r="J318" s="4" t="s">
        <v>1472</v>
      </c>
      <c r="K318" s="4" t="s">
        <v>1473</v>
      </c>
      <c r="L318" s="6" t="s">
        <v>141</v>
      </c>
    </row>
    <row r="319" spans="1:12" ht="72" customHeight="1">
      <c r="A319" s="4" t="s">
        <v>1474</v>
      </c>
      <c r="B319" s="4" t="s">
        <v>1468</v>
      </c>
      <c r="C319" s="4" t="s">
        <v>1475</v>
      </c>
      <c r="D319" s="4" t="s">
        <v>42</v>
      </c>
      <c r="E319" s="4" t="s">
        <v>33</v>
      </c>
      <c r="F319" s="4" t="s">
        <v>33</v>
      </c>
      <c r="G319" s="4" t="s">
        <v>1470</v>
      </c>
      <c r="H319" s="4" t="s">
        <v>1470</v>
      </c>
      <c r="I319" s="4" t="s">
        <v>1471</v>
      </c>
      <c r="J319" s="4" t="s">
        <v>1476</v>
      </c>
      <c r="K319" s="4" t="s">
        <v>1473</v>
      </c>
      <c r="L319" s="6" t="s">
        <v>165</v>
      </c>
    </row>
    <row r="320" spans="1:12" ht="72" customHeight="1">
      <c r="A320" s="4" t="s">
        <v>1477</v>
      </c>
      <c r="B320" s="4" t="s">
        <v>1468</v>
      </c>
      <c r="C320" s="4" t="s">
        <v>1478</v>
      </c>
      <c r="D320" s="4" t="s">
        <v>42</v>
      </c>
      <c r="E320" s="4" t="s">
        <v>33</v>
      </c>
      <c r="F320" s="4" t="s">
        <v>33</v>
      </c>
      <c r="G320" s="4" t="s">
        <v>1470</v>
      </c>
      <c r="H320" s="4" t="s">
        <v>1470</v>
      </c>
      <c r="I320" s="4" t="s">
        <v>1471</v>
      </c>
      <c r="J320" s="4" t="s">
        <v>1479</v>
      </c>
      <c r="K320" s="4" t="s">
        <v>1473</v>
      </c>
      <c r="L320" s="6" t="s">
        <v>165</v>
      </c>
    </row>
    <row r="321" spans="1:12" ht="72" customHeight="1">
      <c r="A321" s="4" t="s">
        <v>1480</v>
      </c>
      <c r="B321" s="4" t="s">
        <v>1468</v>
      </c>
      <c r="C321" s="4" t="s">
        <v>1481</v>
      </c>
      <c r="D321" s="4" t="s">
        <v>42</v>
      </c>
      <c r="E321" s="4" t="s">
        <v>33</v>
      </c>
      <c r="F321" s="4" t="s">
        <v>33</v>
      </c>
      <c r="G321" s="4" t="s">
        <v>1470</v>
      </c>
      <c r="H321" s="4" t="s">
        <v>1470</v>
      </c>
      <c r="I321" s="4" t="s">
        <v>1471</v>
      </c>
      <c r="J321" s="4" t="s">
        <v>1482</v>
      </c>
      <c r="K321" s="4" t="s">
        <v>1473</v>
      </c>
      <c r="L321" s="6" t="s">
        <v>165</v>
      </c>
    </row>
    <row r="322" spans="1:12" ht="72" customHeight="1">
      <c r="A322" s="4" t="s">
        <v>1483</v>
      </c>
      <c r="B322" s="4" t="s">
        <v>1468</v>
      </c>
      <c r="C322" s="4" t="s">
        <v>1484</v>
      </c>
      <c r="D322" s="4" t="s">
        <v>42</v>
      </c>
      <c r="E322" s="4" t="s">
        <v>33</v>
      </c>
      <c r="F322" s="4" t="s">
        <v>33</v>
      </c>
      <c r="G322" s="4" t="s">
        <v>1470</v>
      </c>
      <c r="H322" s="4" t="s">
        <v>1470</v>
      </c>
      <c r="I322" s="4" t="s">
        <v>1471</v>
      </c>
      <c r="J322" s="4" t="s">
        <v>1485</v>
      </c>
      <c r="K322" s="4" t="s">
        <v>1473</v>
      </c>
      <c r="L322" s="6" t="s">
        <v>518</v>
      </c>
    </row>
    <row r="323" spans="1:12" ht="72" customHeight="1">
      <c r="A323" s="4" t="s">
        <v>1486</v>
      </c>
      <c r="B323" s="4" t="s">
        <v>1468</v>
      </c>
      <c r="C323" s="4" t="s">
        <v>1487</v>
      </c>
      <c r="D323" s="4" t="s">
        <v>42</v>
      </c>
      <c r="E323" s="4" t="s">
        <v>33</v>
      </c>
      <c r="F323" s="4" t="s">
        <v>33</v>
      </c>
      <c r="G323" s="4" t="s">
        <v>1470</v>
      </c>
      <c r="H323" s="4" t="s">
        <v>1470</v>
      </c>
      <c r="I323" s="4" t="s">
        <v>1471</v>
      </c>
      <c r="J323" s="4" t="s">
        <v>1488</v>
      </c>
      <c r="K323" s="4" t="s">
        <v>1473</v>
      </c>
      <c r="L323" s="6" t="s">
        <v>81</v>
      </c>
    </row>
    <row r="324" spans="1:12" ht="72" customHeight="1">
      <c r="A324" s="4" t="s">
        <v>1489</v>
      </c>
      <c r="B324" s="4" t="s">
        <v>1490</v>
      </c>
      <c r="C324" s="4" t="s">
        <v>1491</v>
      </c>
      <c r="D324" s="4" t="s">
        <v>42</v>
      </c>
      <c r="E324" s="4" t="s">
        <v>33</v>
      </c>
      <c r="F324" s="4" t="s">
        <v>33</v>
      </c>
      <c r="G324" s="4" t="s">
        <v>1492</v>
      </c>
      <c r="H324" s="4" t="s">
        <v>1492</v>
      </c>
      <c r="I324" s="4" t="s">
        <v>1493</v>
      </c>
      <c r="J324" s="4" t="s">
        <v>1494</v>
      </c>
      <c r="K324" s="4" t="s">
        <v>1495</v>
      </c>
      <c r="L324" s="6" t="s">
        <v>39</v>
      </c>
    </row>
    <row r="325" spans="1:12" ht="72" customHeight="1">
      <c r="A325" s="4" t="s">
        <v>1496</v>
      </c>
      <c r="B325" s="4" t="s">
        <v>1490</v>
      </c>
      <c r="C325" s="4" t="s">
        <v>1497</v>
      </c>
      <c r="D325" s="4" t="s">
        <v>42</v>
      </c>
      <c r="E325" s="4" t="s">
        <v>33</v>
      </c>
      <c r="F325" s="4" t="s">
        <v>33</v>
      </c>
      <c r="G325" s="4" t="s">
        <v>1492</v>
      </c>
      <c r="H325" s="4" t="s">
        <v>1492</v>
      </c>
      <c r="I325" s="4" t="s">
        <v>1493</v>
      </c>
      <c r="J325" s="4" t="s">
        <v>1498</v>
      </c>
      <c r="K325" s="4" t="s">
        <v>1499</v>
      </c>
      <c r="L325" s="6" t="s">
        <v>88</v>
      </c>
    </row>
    <row r="326" spans="1:12" ht="72" customHeight="1">
      <c r="A326" s="4" t="s">
        <v>1500</v>
      </c>
      <c r="B326" s="4" t="s">
        <v>1490</v>
      </c>
      <c r="C326" s="4" t="s">
        <v>1501</v>
      </c>
      <c r="D326" s="4" t="s">
        <v>42</v>
      </c>
      <c r="E326" s="4" t="s">
        <v>33</v>
      </c>
      <c r="F326" s="4" t="s">
        <v>33</v>
      </c>
      <c r="G326" s="4" t="s">
        <v>1492</v>
      </c>
      <c r="H326" s="4" t="s">
        <v>1492</v>
      </c>
      <c r="I326" s="4" t="s">
        <v>1493</v>
      </c>
      <c r="J326" s="4" t="s">
        <v>1502</v>
      </c>
      <c r="K326" s="4" t="s">
        <v>1503</v>
      </c>
      <c r="L326" s="6" t="s">
        <v>159</v>
      </c>
    </row>
    <row r="327" spans="1:12" ht="72" customHeight="1">
      <c r="A327" s="4" t="s">
        <v>1504</v>
      </c>
      <c r="B327" s="4" t="s">
        <v>1490</v>
      </c>
      <c r="C327" s="4" t="s">
        <v>1505</v>
      </c>
      <c r="D327" s="4" t="s">
        <v>42</v>
      </c>
      <c r="E327" s="4" t="s">
        <v>33</v>
      </c>
      <c r="F327" s="4" t="s">
        <v>33</v>
      </c>
      <c r="G327" s="4" t="s">
        <v>1492</v>
      </c>
      <c r="H327" s="4" t="s">
        <v>1492</v>
      </c>
      <c r="I327" s="4" t="s">
        <v>1493</v>
      </c>
      <c r="J327" s="4" t="s">
        <v>1506</v>
      </c>
      <c r="K327" s="4" t="s">
        <v>1507</v>
      </c>
      <c r="L327" s="6" t="s">
        <v>103</v>
      </c>
    </row>
    <row r="328" spans="1:12" ht="72" customHeight="1">
      <c r="A328" s="4" t="s">
        <v>1508</v>
      </c>
      <c r="B328" s="4" t="s">
        <v>1490</v>
      </c>
      <c r="C328" s="4" t="s">
        <v>1509</v>
      </c>
      <c r="D328" s="4" t="s">
        <v>42</v>
      </c>
      <c r="E328" s="4" t="s">
        <v>33</v>
      </c>
      <c r="F328" s="4" t="s">
        <v>33</v>
      </c>
      <c r="G328" s="4" t="s">
        <v>1492</v>
      </c>
      <c r="H328" s="4" t="s">
        <v>1492</v>
      </c>
      <c r="I328" s="4" t="s">
        <v>1493</v>
      </c>
      <c r="J328" s="4" t="s">
        <v>1510</v>
      </c>
      <c r="K328" s="4" t="s">
        <v>1499</v>
      </c>
      <c r="L328" s="6" t="s">
        <v>518</v>
      </c>
    </row>
    <row r="329" spans="1:12" ht="72" customHeight="1">
      <c r="A329" s="4" t="s">
        <v>1511</v>
      </c>
      <c r="B329" s="4" t="s">
        <v>1490</v>
      </c>
      <c r="C329" s="4" t="s">
        <v>1512</v>
      </c>
      <c r="D329" s="4" t="s">
        <v>42</v>
      </c>
      <c r="E329" s="4" t="s">
        <v>33</v>
      </c>
      <c r="F329" s="4" t="s">
        <v>33</v>
      </c>
      <c r="G329" s="4" t="s">
        <v>1492</v>
      </c>
      <c r="H329" s="4" t="s">
        <v>1492</v>
      </c>
      <c r="I329" s="4" t="s">
        <v>1493</v>
      </c>
      <c r="J329" s="4" t="s">
        <v>1513</v>
      </c>
      <c r="K329" s="4" t="s">
        <v>1499</v>
      </c>
      <c r="L329" s="6" t="s">
        <v>88</v>
      </c>
    </row>
    <row r="330" spans="1:12" ht="72" customHeight="1">
      <c r="A330" s="4" t="s">
        <v>1514</v>
      </c>
      <c r="B330" s="4" t="s">
        <v>1490</v>
      </c>
      <c r="C330" s="4" t="s">
        <v>1515</v>
      </c>
      <c r="D330" s="4" t="s">
        <v>42</v>
      </c>
      <c r="E330" s="4" t="s">
        <v>33</v>
      </c>
      <c r="F330" s="4" t="s">
        <v>33</v>
      </c>
      <c r="G330" s="4" t="s">
        <v>1492</v>
      </c>
      <c r="H330" s="4" t="s">
        <v>1492</v>
      </c>
      <c r="I330" s="4" t="s">
        <v>1493</v>
      </c>
      <c r="J330" s="4" t="s">
        <v>1516</v>
      </c>
      <c r="K330" s="4" t="s">
        <v>1517</v>
      </c>
      <c r="L330" s="6" t="s">
        <v>625</v>
      </c>
    </row>
    <row r="331" spans="1:12" ht="72" customHeight="1">
      <c r="A331" s="4" t="s">
        <v>1518</v>
      </c>
      <c r="B331" s="4" t="s">
        <v>1519</v>
      </c>
      <c r="C331" s="4" t="s">
        <v>1520</v>
      </c>
      <c r="D331" s="4" t="s">
        <v>42</v>
      </c>
      <c r="E331" s="4" t="s">
        <v>33</v>
      </c>
      <c r="F331" s="4" t="s">
        <v>33</v>
      </c>
      <c r="G331" s="4" t="s">
        <v>1521</v>
      </c>
      <c r="H331" s="4" t="s">
        <v>1521</v>
      </c>
      <c r="I331" s="4" t="s">
        <v>1522</v>
      </c>
      <c r="J331" s="4" t="s">
        <v>1523</v>
      </c>
      <c r="K331" s="4" t="s">
        <v>1524</v>
      </c>
      <c r="L331" s="6" t="s">
        <v>141</v>
      </c>
    </row>
    <row r="332" spans="1:12" ht="72" customHeight="1">
      <c r="A332" s="4" t="s">
        <v>1525</v>
      </c>
      <c r="B332" s="4" t="s">
        <v>1519</v>
      </c>
      <c r="C332" s="4" t="s">
        <v>1526</v>
      </c>
      <c r="D332" s="4" t="s">
        <v>42</v>
      </c>
      <c r="E332" s="4" t="s">
        <v>33</v>
      </c>
      <c r="F332" s="4" t="s">
        <v>33</v>
      </c>
      <c r="G332" s="4" t="s">
        <v>1521</v>
      </c>
      <c r="H332" s="4" t="s">
        <v>1521</v>
      </c>
      <c r="I332" s="4" t="s">
        <v>1522</v>
      </c>
      <c r="J332" s="4" t="s">
        <v>1527</v>
      </c>
      <c r="K332" s="4" t="s">
        <v>1524</v>
      </c>
      <c r="L332" s="6" t="s">
        <v>88</v>
      </c>
    </row>
    <row r="333" spans="1:12" ht="72" customHeight="1">
      <c r="A333" s="4" t="s">
        <v>1528</v>
      </c>
      <c r="B333" s="4" t="s">
        <v>1519</v>
      </c>
      <c r="C333" s="4" t="s">
        <v>1529</v>
      </c>
      <c r="D333" s="4" t="s">
        <v>42</v>
      </c>
      <c r="E333" s="4" t="s">
        <v>33</v>
      </c>
      <c r="F333" s="4" t="s">
        <v>33</v>
      </c>
      <c r="G333" s="4" t="s">
        <v>1521</v>
      </c>
      <c r="H333" s="4" t="s">
        <v>1521</v>
      </c>
      <c r="I333" s="4" t="s">
        <v>1522</v>
      </c>
      <c r="J333" s="4" t="s">
        <v>1530</v>
      </c>
      <c r="K333" s="4" t="s">
        <v>1524</v>
      </c>
      <c r="L333" s="6" t="s">
        <v>159</v>
      </c>
    </row>
    <row r="334" spans="1:12" ht="72" customHeight="1">
      <c r="A334" s="4" t="s">
        <v>1531</v>
      </c>
      <c r="B334" s="4" t="s">
        <v>1532</v>
      </c>
      <c r="C334" s="4" t="s">
        <v>1533</v>
      </c>
      <c r="D334" s="4" t="s">
        <v>42</v>
      </c>
      <c r="E334" s="4" t="s">
        <v>33</v>
      </c>
      <c r="F334" s="4" t="s">
        <v>33</v>
      </c>
      <c r="G334" s="4" t="s">
        <v>1534</v>
      </c>
      <c r="H334" s="4" t="s">
        <v>1535</v>
      </c>
      <c r="I334" s="4" t="s">
        <v>1536</v>
      </c>
      <c r="J334" s="4" t="s">
        <v>1537</v>
      </c>
      <c r="K334" s="4" t="s">
        <v>1538</v>
      </c>
      <c r="L334" s="6" t="s">
        <v>39</v>
      </c>
    </row>
    <row r="335" spans="1:12" ht="72" customHeight="1">
      <c r="A335" s="4" t="s">
        <v>1539</v>
      </c>
      <c r="B335" s="4" t="s">
        <v>1532</v>
      </c>
      <c r="C335" s="4" t="s">
        <v>1540</v>
      </c>
      <c r="D335" s="4" t="s">
        <v>42</v>
      </c>
      <c r="E335" s="4" t="s">
        <v>33</v>
      </c>
      <c r="F335" s="4" t="s">
        <v>33</v>
      </c>
      <c r="G335" s="4" t="s">
        <v>1534</v>
      </c>
      <c r="H335" s="4" t="s">
        <v>1535</v>
      </c>
      <c r="I335" s="4" t="s">
        <v>1536</v>
      </c>
      <c r="J335" s="4" t="s">
        <v>1541</v>
      </c>
      <c r="K335" s="4" t="s">
        <v>1542</v>
      </c>
      <c r="L335" s="6" t="s">
        <v>311</v>
      </c>
    </row>
    <row r="336" spans="1:12" ht="72" customHeight="1">
      <c r="A336" s="4" t="s">
        <v>1543</v>
      </c>
      <c r="B336" s="4" t="s">
        <v>1532</v>
      </c>
      <c r="C336" s="4" t="s">
        <v>1544</v>
      </c>
      <c r="D336" s="4" t="s">
        <v>42</v>
      </c>
      <c r="E336" s="4" t="s">
        <v>33</v>
      </c>
      <c r="F336" s="4" t="s">
        <v>33</v>
      </c>
      <c r="G336" s="4" t="s">
        <v>1534</v>
      </c>
      <c r="H336" s="4" t="s">
        <v>1535</v>
      </c>
      <c r="I336" s="4" t="s">
        <v>1536</v>
      </c>
      <c r="J336" s="4" t="s">
        <v>1545</v>
      </c>
      <c r="K336" s="4" t="s">
        <v>1546</v>
      </c>
      <c r="L336" s="6" t="s">
        <v>518</v>
      </c>
    </row>
    <row r="337" spans="1:12" ht="72" customHeight="1">
      <c r="A337" s="4" t="s">
        <v>1547</v>
      </c>
      <c r="B337" s="4" t="s">
        <v>1532</v>
      </c>
      <c r="C337" s="4" t="s">
        <v>1548</v>
      </c>
      <c r="D337" s="4" t="s">
        <v>42</v>
      </c>
      <c r="E337" s="4" t="s">
        <v>33</v>
      </c>
      <c r="F337" s="4" t="s">
        <v>33</v>
      </c>
      <c r="G337" s="4" t="s">
        <v>1534</v>
      </c>
      <c r="H337" s="4" t="s">
        <v>1535</v>
      </c>
      <c r="I337" s="4" t="s">
        <v>1536</v>
      </c>
      <c r="J337" s="4" t="s">
        <v>1549</v>
      </c>
      <c r="K337" s="4" t="s">
        <v>1538</v>
      </c>
      <c r="L337" s="6" t="s">
        <v>81</v>
      </c>
    </row>
    <row r="338" spans="1:12" ht="72" customHeight="1">
      <c r="A338" s="4" t="s">
        <v>1550</v>
      </c>
      <c r="B338" s="4" t="s">
        <v>1532</v>
      </c>
      <c r="C338" s="4" t="s">
        <v>1551</v>
      </c>
      <c r="D338" s="4" t="s">
        <v>42</v>
      </c>
      <c r="E338" s="4" t="s">
        <v>33</v>
      </c>
      <c r="F338" s="4" t="s">
        <v>33</v>
      </c>
      <c r="G338" s="4" t="s">
        <v>1534</v>
      </c>
      <c r="H338" s="4" t="s">
        <v>1535</v>
      </c>
      <c r="I338" s="4" t="s">
        <v>1536</v>
      </c>
      <c r="J338" s="4" t="s">
        <v>1552</v>
      </c>
      <c r="K338" s="4" t="s">
        <v>1538</v>
      </c>
      <c r="L338" s="6" t="s">
        <v>518</v>
      </c>
    </row>
    <row r="339" spans="1:12" ht="72" customHeight="1">
      <c r="A339" s="4" t="s">
        <v>1553</v>
      </c>
      <c r="B339" s="4" t="s">
        <v>1532</v>
      </c>
      <c r="C339" s="4" t="s">
        <v>1554</v>
      </c>
      <c r="D339" s="4" t="s">
        <v>42</v>
      </c>
      <c r="E339" s="4" t="s">
        <v>33</v>
      </c>
      <c r="F339" s="4" t="s">
        <v>33</v>
      </c>
      <c r="G339" s="4" t="s">
        <v>1534</v>
      </c>
      <c r="H339" s="4" t="s">
        <v>1535</v>
      </c>
      <c r="I339" s="4" t="s">
        <v>1536</v>
      </c>
      <c r="J339" s="4" t="s">
        <v>1555</v>
      </c>
      <c r="K339" s="4" t="s">
        <v>1556</v>
      </c>
      <c r="L339" s="6" t="s">
        <v>1045</v>
      </c>
    </row>
    <row r="340" spans="1:12" ht="72" customHeight="1">
      <c r="A340" s="4" t="s">
        <v>1557</v>
      </c>
      <c r="B340" s="4" t="s">
        <v>1532</v>
      </c>
      <c r="C340" s="4" t="s">
        <v>1558</v>
      </c>
      <c r="D340" s="4" t="s">
        <v>42</v>
      </c>
      <c r="E340" s="4" t="s">
        <v>33</v>
      </c>
      <c r="F340" s="4" t="s">
        <v>33</v>
      </c>
      <c r="G340" s="4" t="s">
        <v>1534</v>
      </c>
      <c r="H340" s="4" t="s">
        <v>1535</v>
      </c>
      <c r="I340" s="4" t="s">
        <v>1536</v>
      </c>
      <c r="J340" s="4" t="s">
        <v>1559</v>
      </c>
      <c r="K340" s="4" t="s">
        <v>1560</v>
      </c>
      <c r="L340" s="6" t="s">
        <v>88</v>
      </c>
    </row>
    <row r="341" spans="1:12" ht="72" customHeight="1">
      <c r="A341" s="4" t="s">
        <v>1561</v>
      </c>
      <c r="B341" s="4" t="s">
        <v>1532</v>
      </c>
      <c r="C341" s="4" t="s">
        <v>1562</v>
      </c>
      <c r="D341" s="4" t="s">
        <v>42</v>
      </c>
      <c r="E341" s="4" t="s">
        <v>33</v>
      </c>
      <c r="F341" s="4" t="s">
        <v>33</v>
      </c>
      <c r="G341" s="4" t="s">
        <v>1534</v>
      </c>
      <c r="H341" s="4" t="s">
        <v>1535</v>
      </c>
      <c r="I341" s="4" t="s">
        <v>1536</v>
      </c>
      <c r="J341" s="4" t="s">
        <v>1563</v>
      </c>
      <c r="K341" s="4" t="s">
        <v>1564</v>
      </c>
      <c r="L341" s="6" t="s">
        <v>103</v>
      </c>
    </row>
    <row r="342" spans="1:12" ht="72" customHeight="1">
      <c r="A342" s="4" t="s">
        <v>1565</v>
      </c>
      <c r="B342" s="4" t="s">
        <v>1566</v>
      </c>
      <c r="C342" s="4" t="s">
        <v>1567</v>
      </c>
      <c r="D342" s="4" t="s">
        <v>42</v>
      </c>
      <c r="E342" s="4" t="s">
        <v>33</v>
      </c>
      <c r="F342" s="4" t="s">
        <v>33</v>
      </c>
      <c r="G342" s="4" t="s">
        <v>1568</v>
      </c>
      <c r="H342" s="4" t="s">
        <v>1569</v>
      </c>
      <c r="I342" s="4" t="s">
        <v>1570</v>
      </c>
      <c r="J342" s="4" t="s">
        <v>1571</v>
      </c>
      <c r="K342" s="4" t="s">
        <v>1572</v>
      </c>
      <c r="L342" s="6" t="s">
        <v>147</v>
      </c>
    </row>
    <row r="343" spans="1:12" ht="72" customHeight="1">
      <c r="A343" s="4" t="s">
        <v>1573</v>
      </c>
      <c r="B343" s="4" t="s">
        <v>1566</v>
      </c>
      <c r="C343" s="4" t="s">
        <v>1574</v>
      </c>
      <c r="D343" s="4" t="s">
        <v>42</v>
      </c>
      <c r="E343" s="4" t="s">
        <v>33</v>
      </c>
      <c r="F343" s="4" t="s">
        <v>33</v>
      </c>
      <c r="G343" s="4" t="s">
        <v>1568</v>
      </c>
      <c r="H343" s="4" t="s">
        <v>1569</v>
      </c>
      <c r="I343" s="4" t="s">
        <v>1570</v>
      </c>
      <c r="J343" s="4" t="s">
        <v>1575</v>
      </c>
      <c r="K343" s="4" t="s">
        <v>1576</v>
      </c>
      <c r="L343" s="6" t="s">
        <v>88</v>
      </c>
    </row>
    <row r="344" spans="1:12" ht="72" customHeight="1">
      <c r="A344" s="4" t="s">
        <v>1577</v>
      </c>
      <c r="B344" s="4" t="s">
        <v>1566</v>
      </c>
      <c r="C344" s="4" t="s">
        <v>1578</v>
      </c>
      <c r="D344" s="4" t="s">
        <v>42</v>
      </c>
      <c r="E344" s="4" t="s">
        <v>33</v>
      </c>
      <c r="F344" s="4" t="s">
        <v>33</v>
      </c>
      <c r="G344" s="4" t="s">
        <v>1568</v>
      </c>
      <c r="H344" s="4" t="s">
        <v>1569</v>
      </c>
      <c r="I344" s="4" t="s">
        <v>1570</v>
      </c>
      <c r="J344" s="4" t="s">
        <v>1579</v>
      </c>
      <c r="K344" s="4" t="s">
        <v>1580</v>
      </c>
      <c r="L344" s="6" t="s">
        <v>88</v>
      </c>
    </row>
    <row r="345" spans="1:12" ht="72" customHeight="1">
      <c r="A345" s="4" t="s">
        <v>1581</v>
      </c>
      <c r="B345" s="4" t="s">
        <v>1566</v>
      </c>
      <c r="C345" s="4" t="s">
        <v>1582</v>
      </c>
      <c r="D345" s="4" t="s">
        <v>42</v>
      </c>
      <c r="E345" s="4" t="s">
        <v>33</v>
      </c>
      <c r="F345" s="4" t="s">
        <v>33</v>
      </c>
      <c r="G345" s="4" t="s">
        <v>1568</v>
      </c>
      <c r="H345" s="4" t="s">
        <v>1569</v>
      </c>
      <c r="I345" s="4" t="s">
        <v>1570</v>
      </c>
      <c r="J345" s="4" t="s">
        <v>1583</v>
      </c>
      <c r="K345" s="4" t="s">
        <v>1580</v>
      </c>
      <c r="L345" s="6" t="s">
        <v>88</v>
      </c>
    </row>
    <row r="346" spans="1:12" ht="72" customHeight="1">
      <c r="A346" s="4" t="s">
        <v>1584</v>
      </c>
      <c r="B346" s="4" t="s">
        <v>1566</v>
      </c>
      <c r="C346" s="4" t="s">
        <v>1585</v>
      </c>
      <c r="D346" s="4" t="s">
        <v>42</v>
      </c>
      <c r="E346" s="4" t="s">
        <v>33</v>
      </c>
      <c r="F346" s="4" t="s">
        <v>33</v>
      </c>
      <c r="G346" s="4" t="s">
        <v>1568</v>
      </c>
      <c r="H346" s="4" t="s">
        <v>1569</v>
      </c>
      <c r="I346" s="4" t="s">
        <v>1570</v>
      </c>
      <c r="J346" s="4" t="s">
        <v>1586</v>
      </c>
      <c r="K346" s="4" t="s">
        <v>1580</v>
      </c>
      <c r="L346" s="6" t="s">
        <v>88</v>
      </c>
    </row>
    <row r="347" spans="1:12" ht="72" customHeight="1">
      <c r="A347" s="4" t="s">
        <v>1587</v>
      </c>
      <c r="B347" s="4" t="s">
        <v>1588</v>
      </c>
      <c r="C347" s="4" t="s">
        <v>1589</v>
      </c>
      <c r="D347" s="4" t="s">
        <v>42</v>
      </c>
      <c r="E347" s="4" t="s">
        <v>33</v>
      </c>
      <c r="F347" s="4" t="s">
        <v>33</v>
      </c>
      <c r="G347" s="4" t="s">
        <v>1590</v>
      </c>
      <c r="H347" s="4" t="s">
        <v>1591</v>
      </c>
      <c r="I347" s="4" t="s">
        <v>1592</v>
      </c>
      <c r="J347" s="4" t="s">
        <v>1593</v>
      </c>
      <c r="K347" s="4" t="s">
        <v>1594</v>
      </c>
      <c r="L347" s="6" t="s">
        <v>159</v>
      </c>
    </row>
    <row r="348" spans="1:12" ht="72" customHeight="1">
      <c r="A348" s="4" t="s">
        <v>1595</v>
      </c>
      <c r="B348" s="4" t="s">
        <v>1588</v>
      </c>
      <c r="C348" s="4" t="s">
        <v>1596</v>
      </c>
      <c r="D348" s="4" t="s">
        <v>42</v>
      </c>
      <c r="E348" s="4" t="s">
        <v>33</v>
      </c>
      <c r="F348" s="4" t="s">
        <v>33</v>
      </c>
      <c r="G348" s="4" t="s">
        <v>1590</v>
      </c>
      <c r="H348" s="4" t="s">
        <v>1591</v>
      </c>
      <c r="I348" s="4" t="s">
        <v>1592</v>
      </c>
      <c r="J348" s="4" t="s">
        <v>1597</v>
      </c>
      <c r="K348" s="4" t="s">
        <v>1598</v>
      </c>
      <c r="L348" s="6" t="s">
        <v>165</v>
      </c>
    </row>
    <row r="349" spans="1:12" ht="72" customHeight="1">
      <c r="A349" s="4" t="s">
        <v>1599</v>
      </c>
      <c r="B349" s="4" t="s">
        <v>1588</v>
      </c>
      <c r="C349" s="4" t="s">
        <v>1600</v>
      </c>
      <c r="D349" s="4" t="s">
        <v>42</v>
      </c>
      <c r="E349" s="4" t="s">
        <v>33</v>
      </c>
      <c r="F349" s="4" t="s">
        <v>33</v>
      </c>
      <c r="G349" s="4" t="s">
        <v>1590</v>
      </c>
      <c r="H349" s="4" t="s">
        <v>1591</v>
      </c>
      <c r="I349" s="4" t="s">
        <v>1592</v>
      </c>
      <c r="J349" s="4" t="s">
        <v>1601</v>
      </c>
      <c r="K349" s="4" t="s">
        <v>1594</v>
      </c>
      <c r="L349" s="6" t="s">
        <v>147</v>
      </c>
    </row>
    <row r="350" spans="1:12" ht="72" customHeight="1">
      <c r="A350" s="4" t="s">
        <v>1602</v>
      </c>
      <c r="B350" s="4" t="s">
        <v>1588</v>
      </c>
      <c r="C350" s="4" t="s">
        <v>1603</v>
      </c>
      <c r="D350" s="4" t="s">
        <v>42</v>
      </c>
      <c r="E350" s="4" t="s">
        <v>33</v>
      </c>
      <c r="F350" s="4" t="s">
        <v>33</v>
      </c>
      <c r="G350" s="4" t="s">
        <v>1590</v>
      </c>
      <c r="H350" s="4" t="s">
        <v>1591</v>
      </c>
      <c r="I350" s="4" t="s">
        <v>1592</v>
      </c>
      <c r="J350" s="4" t="s">
        <v>1604</v>
      </c>
      <c r="K350" s="4" t="s">
        <v>1605</v>
      </c>
      <c r="L350" s="6" t="s">
        <v>88</v>
      </c>
    </row>
    <row r="351" spans="1:12" ht="72" customHeight="1">
      <c r="A351" s="4" t="s">
        <v>1606</v>
      </c>
      <c r="B351" s="4" t="s">
        <v>1588</v>
      </c>
      <c r="C351" s="4" t="s">
        <v>1607</v>
      </c>
      <c r="D351" s="4" t="s">
        <v>42</v>
      </c>
      <c r="E351" s="4" t="s">
        <v>33</v>
      </c>
      <c r="F351" s="4" t="s">
        <v>33</v>
      </c>
      <c r="G351" s="4" t="s">
        <v>1590</v>
      </c>
      <c r="H351" s="4" t="s">
        <v>1591</v>
      </c>
      <c r="I351" s="4" t="s">
        <v>1592</v>
      </c>
      <c r="J351" s="4" t="s">
        <v>1608</v>
      </c>
      <c r="K351" s="4" t="s">
        <v>1594</v>
      </c>
      <c r="L351" s="6" t="s">
        <v>1609</v>
      </c>
    </row>
    <row r="352" spans="1:12" ht="72" customHeight="1">
      <c r="A352" s="4" t="s">
        <v>1610</v>
      </c>
      <c r="B352" s="4" t="s">
        <v>1588</v>
      </c>
      <c r="C352" s="4" t="s">
        <v>1611</v>
      </c>
      <c r="D352" s="4" t="s">
        <v>42</v>
      </c>
      <c r="E352" s="4" t="s">
        <v>33</v>
      </c>
      <c r="F352" s="4" t="s">
        <v>33</v>
      </c>
      <c r="G352" s="4" t="s">
        <v>1590</v>
      </c>
      <c r="H352" s="4" t="s">
        <v>1591</v>
      </c>
      <c r="I352" s="4" t="s">
        <v>1592</v>
      </c>
      <c r="J352" s="4" t="s">
        <v>1612</v>
      </c>
      <c r="K352" s="4" t="s">
        <v>1613</v>
      </c>
      <c r="L352" s="6" t="s">
        <v>103</v>
      </c>
    </row>
    <row r="353" spans="1:12" ht="72" customHeight="1">
      <c r="A353" s="4" t="s">
        <v>1614</v>
      </c>
      <c r="B353" s="4" t="s">
        <v>1615</v>
      </c>
      <c r="C353" s="4" t="s">
        <v>1616</v>
      </c>
      <c r="D353" s="4" t="s">
        <v>42</v>
      </c>
      <c r="E353" s="4" t="s">
        <v>33</v>
      </c>
      <c r="F353" s="4" t="s">
        <v>33</v>
      </c>
      <c r="G353" s="4" t="s">
        <v>1617</v>
      </c>
      <c r="H353" s="4" t="s">
        <v>1618</v>
      </c>
      <c r="I353" s="4" t="s">
        <v>1619</v>
      </c>
      <c r="J353" s="4" t="s">
        <v>1620</v>
      </c>
      <c r="K353" s="4" t="s">
        <v>1621</v>
      </c>
      <c r="L353" s="6" t="s">
        <v>141</v>
      </c>
    </row>
    <row r="354" spans="1:12" ht="72" customHeight="1">
      <c r="A354" s="4" t="s">
        <v>1622</v>
      </c>
      <c r="B354" s="4" t="s">
        <v>1615</v>
      </c>
      <c r="C354" s="4" t="s">
        <v>1623</v>
      </c>
      <c r="D354" s="4" t="s">
        <v>42</v>
      </c>
      <c r="E354" s="4" t="s">
        <v>33</v>
      </c>
      <c r="F354" s="4" t="s">
        <v>33</v>
      </c>
      <c r="G354" s="4" t="s">
        <v>1617</v>
      </c>
      <c r="H354" s="4" t="s">
        <v>1618</v>
      </c>
      <c r="I354" s="4" t="s">
        <v>1619</v>
      </c>
      <c r="J354" s="4" t="s">
        <v>1624</v>
      </c>
      <c r="K354" s="4" t="s">
        <v>1625</v>
      </c>
      <c r="L354" s="6" t="s">
        <v>147</v>
      </c>
    </row>
    <row r="355" spans="1:12" ht="72" customHeight="1">
      <c r="A355" s="4" t="s">
        <v>1626</v>
      </c>
      <c r="B355" s="4" t="s">
        <v>1615</v>
      </c>
      <c r="C355" s="4" t="s">
        <v>1627</v>
      </c>
      <c r="D355" s="4" t="s">
        <v>42</v>
      </c>
      <c r="E355" s="4" t="s">
        <v>33</v>
      </c>
      <c r="F355" s="4" t="s">
        <v>33</v>
      </c>
      <c r="G355" s="4" t="s">
        <v>1617</v>
      </c>
      <c r="H355" s="4" t="s">
        <v>1618</v>
      </c>
      <c r="I355" s="4" t="s">
        <v>1619</v>
      </c>
      <c r="J355" s="4" t="s">
        <v>1628</v>
      </c>
      <c r="K355" s="4" t="s">
        <v>1629</v>
      </c>
      <c r="L355" s="6" t="s">
        <v>103</v>
      </c>
    </row>
    <row r="356" spans="1:12" ht="72" customHeight="1">
      <c r="A356" s="4" t="s">
        <v>1630</v>
      </c>
      <c r="B356" s="4" t="s">
        <v>1615</v>
      </c>
      <c r="C356" s="4" t="s">
        <v>1631</v>
      </c>
      <c r="D356" s="4" t="s">
        <v>42</v>
      </c>
      <c r="E356" s="4" t="s">
        <v>33</v>
      </c>
      <c r="F356" s="4" t="s">
        <v>33</v>
      </c>
      <c r="G356" s="4" t="s">
        <v>1617</v>
      </c>
      <c r="H356" s="4" t="s">
        <v>1618</v>
      </c>
      <c r="I356" s="4" t="s">
        <v>1619</v>
      </c>
      <c r="J356" s="4" t="s">
        <v>1632</v>
      </c>
      <c r="K356" s="4" t="s">
        <v>1633</v>
      </c>
      <c r="L356" s="6" t="s">
        <v>518</v>
      </c>
    </row>
    <row r="357" spans="1:12" ht="72" customHeight="1">
      <c r="A357" s="4" t="s">
        <v>1634</v>
      </c>
      <c r="B357" s="4" t="s">
        <v>1635</v>
      </c>
      <c r="C357" s="4" t="s">
        <v>1636</v>
      </c>
      <c r="D357" s="4" t="s">
        <v>42</v>
      </c>
      <c r="E357" s="4" t="s">
        <v>33</v>
      </c>
      <c r="F357" s="4" t="s">
        <v>33</v>
      </c>
      <c r="G357" s="4" t="s">
        <v>1637</v>
      </c>
      <c r="H357" s="4" t="s">
        <v>1638</v>
      </c>
      <c r="I357" s="4" t="s">
        <v>1639</v>
      </c>
      <c r="J357" s="4" t="s">
        <v>1640</v>
      </c>
      <c r="K357" s="4" t="s">
        <v>1641</v>
      </c>
      <c r="L357" s="6" t="s">
        <v>141</v>
      </c>
    </row>
    <row r="358" spans="1:12" ht="72" customHeight="1">
      <c r="A358" s="4" t="s">
        <v>1642</v>
      </c>
      <c r="B358" s="4" t="s">
        <v>1635</v>
      </c>
      <c r="C358" s="4" t="s">
        <v>1643</v>
      </c>
      <c r="D358" s="4" t="s">
        <v>42</v>
      </c>
      <c r="E358" s="4" t="s">
        <v>33</v>
      </c>
      <c r="F358" s="4" t="s">
        <v>33</v>
      </c>
      <c r="G358" s="4" t="s">
        <v>1637</v>
      </c>
      <c r="H358" s="4" t="s">
        <v>1638</v>
      </c>
      <c r="I358" s="4" t="s">
        <v>1639</v>
      </c>
      <c r="J358" s="4" t="s">
        <v>1644</v>
      </c>
      <c r="K358" s="4" t="s">
        <v>1645</v>
      </c>
      <c r="L358" s="6" t="s">
        <v>165</v>
      </c>
    </row>
    <row r="359" spans="1:12" ht="72" customHeight="1">
      <c r="A359" s="4" t="s">
        <v>1646</v>
      </c>
      <c r="B359" s="4" t="s">
        <v>1635</v>
      </c>
      <c r="C359" s="4" t="s">
        <v>1647</v>
      </c>
      <c r="D359" s="4" t="s">
        <v>42</v>
      </c>
      <c r="E359" s="4" t="s">
        <v>33</v>
      </c>
      <c r="F359" s="4" t="s">
        <v>33</v>
      </c>
      <c r="G359" s="4" t="s">
        <v>1637</v>
      </c>
      <c r="H359" s="4" t="s">
        <v>1638</v>
      </c>
      <c r="I359" s="4" t="s">
        <v>1639</v>
      </c>
      <c r="J359" s="4" t="s">
        <v>1648</v>
      </c>
      <c r="K359" s="4" t="s">
        <v>1645</v>
      </c>
      <c r="L359" s="6" t="s">
        <v>165</v>
      </c>
    </row>
    <row r="360" spans="1:12" ht="72" customHeight="1">
      <c r="A360" s="4" t="s">
        <v>1649</v>
      </c>
      <c r="B360" s="4" t="s">
        <v>1635</v>
      </c>
      <c r="C360" s="4" t="s">
        <v>1650</v>
      </c>
      <c r="D360" s="4" t="s">
        <v>42</v>
      </c>
      <c r="E360" s="4" t="s">
        <v>33</v>
      </c>
      <c r="F360" s="4" t="s">
        <v>33</v>
      </c>
      <c r="G360" s="4" t="s">
        <v>1637</v>
      </c>
      <c r="H360" s="4" t="s">
        <v>1638</v>
      </c>
      <c r="I360" s="4" t="s">
        <v>1639</v>
      </c>
      <c r="J360" s="4" t="s">
        <v>1651</v>
      </c>
      <c r="K360" s="4" t="s">
        <v>1652</v>
      </c>
      <c r="L360" s="6" t="s">
        <v>518</v>
      </c>
    </row>
    <row r="361" spans="1:12" ht="72" customHeight="1">
      <c r="A361" s="4" t="s">
        <v>1653</v>
      </c>
      <c r="B361" s="4" t="s">
        <v>1654</v>
      </c>
      <c r="C361" s="4" t="s">
        <v>1655</v>
      </c>
      <c r="D361" s="4" t="s">
        <v>42</v>
      </c>
      <c r="E361" s="4" t="s">
        <v>33</v>
      </c>
      <c r="F361" s="4" t="s">
        <v>33</v>
      </c>
      <c r="G361" s="4" t="s">
        <v>1656</v>
      </c>
      <c r="H361" s="4" t="s">
        <v>1657</v>
      </c>
      <c r="I361" s="4" t="s">
        <v>1658</v>
      </c>
      <c r="J361" s="4" t="s">
        <v>1659</v>
      </c>
      <c r="K361" s="4" t="s">
        <v>1660</v>
      </c>
      <c r="L361" s="6" t="s">
        <v>141</v>
      </c>
    </row>
    <row r="362" spans="1:12" ht="72" customHeight="1">
      <c r="A362" s="4" t="s">
        <v>1661</v>
      </c>
      <c r="B362" s="4" t="s">
        <v>1654</v>
      </c>
      <c r="C362" s="4" t="s">
        <v>1662</v>
      </c>
      <c r="D362" s="4" t="s">
        <v>42</v>
      </c>
      <c r="E362" s="4" t="s">
        <v>33</v>
      </c>
      <c r="F362" s="4" t="s">
        <v>33</v>
      </c>
      <c r="G362" s="4" t="s">
        <v>1656</v>
      </c>
      <c r="H362" s="4" t="s">
        <v>1657</v>
      </c>
      <c r="I362" s="4" t="s">
        <v>1658</v>
      </c>
      <c r="J362" s="4" t="s">
        <v>1663</v>
      </c>
      <c r="K362" s="4" t="s">
        <v>1664</v>
      </c>
      <c r="L362" s="6" t="s">
        <v>165</v>
      </c>
    </row>
    <row r="363" spans="1:12" ht="72" customHeight="1">
      <c r="A363" s="4" t="s">
        <v>1665</v>
      </c>
      <c r="B363" s="4" t="s">
        <v>1654</v>
      </c>
      <c r="C363" s="4" t="s">
        <v>1666</v>
      </c>
      <c r="D363" s="4" t="s">
        <v>42</v>
      </c>
      <c r="E363" s="4" t="s">
        <v>33</v>
      </c>
      <c r="F363" s="4" t="s">
        <v>33</v>
      </c>
      <c r="G363" s="4" t="s">
        <v>1656</v>
      </c>
      <c r="H363" s="4" t="s">
        <v>1657</v>
      </c>
      <c r="I363" s="4" t="s">
        <v>1658</v>
      </c>
      <c r="J363" s="4" t="s">
        <v>1667</v>
      </c>
      <c r="K363" s="4" t="s">
        <v>1664</v>
      </c>
      <c r="L363" s="6" t="s">
        <v>183</v>
      </c>
    </row>
    <row r="364" spans="1:12" ht="72" customHeight="1">
      <c r="A364" s="4" t="s">
        <v>1668</v>
      </c>
      <c r="B364" s="4" t="s">
        <v>1654</v>
      </c>
      <c r="C364" s="4" t="s">
        <v>1669</v>
      </c>
      <c r="D364" s="4" t="s">
        <v>42</v>
      </c>
      <c r="E364" s="4" t="s">
        <v>33</v>
      </c>
      <c r="F364" s="4" t="s">
        <v>33</v>
      </c>
      <c r="G364" s="4" t="s">
        <v>1656</v>
      </c>
      <c r="H364" s="4" t="s">
        <v>1657</v>
      </c>
      <c r="I364" s="4" t="s">
        <v>1658</v>
      </c>
      <c r="J364" s="4" t="s">
        <v>1670</v>
      </c>
      <c r="K364" s="4" t="s">
        <v>1664</v>
      </c>
      <c r="L364" s="6" t="s">
        <v>518</v>
      </c>
    </row>
    <row r="365" spans="1:12" ht="72" customHeight="1">
      <c r="A365" s="4" t="s">
        <v>1671</v>
      </c>
      <c r="B365" s="4" t="s">
        <v>1654</v>
      </c>
      <c r="C365" s="4" t="s">
        <v>1672</v>
      </c>
      <c r="D365" s="4" t="s">
        <v>42</v>
      </c>
      <c r="E365" s="4" t="s">
        <v>33</v>
      </c>
      <c r="F365" s="4" t="s">
        <v>33</v>
      </c>
      <c r="G365" s="4" t="s">
        <v>1656</v>
      </c>
      <c r="H365" s="4" t="s">
        <v>1657</v>
      </c>
      <c r="I365" s="4" t="s">
        <v>1658</v>
      </c>
      <c r="J365" s="4" t="s">
        <v>1673</v>
      </c>
      <c r="K365" s="4" t="s">
        <v>1674</v>
      </c>
      <c r="L365" s="6" t="s">
        <v>88</v>
      </c>
    </row>
    <row r="366" spans="1:12" ht="72" customHeight="1">
      <c r="A366" s="4" t="s">
        <v>1675</v>
      </c>
      <c r="B366" s="4" t="s">
        <v>1654</v>
      </c>
      <c r="C366" s="4" t="s">
        <v>1676</v>
      </c>
      <c r="D366" s="4" t="s">
        <v>42</v>
      </c>
      <c r="E366" s="4" t="s">
        <v>33</v>
      </c>
      <c r="F366" s="4" t="s">
        <v>33</v>
      </c>
      <c r="G366" s="4" t="s">
        <v>1656</v>
      </c>
      <c r="H366" s="4" t="s">
        <v>1657</v>
      </c>
      <c r="I366" s="4" t="s">
        <v>1658</v>
      </c>
      <c r="J366" s="4" t="s">
        <v>1677</v>
      </c>
      <c r="K366" s="4" t="s">
        <v>1678</v>
      </c>
      <c r="L366" s="6" t="s">
        <v>103</v>
      </c>
    </row>
    <row r="367" spans="1:12" ht="72" customHeight="1">
      <c r="A367" s="4" t="s">
        <v>1679</v>
      </c>
      <c r="B367" s="4" t="s">
        <v>1680</v>
      </c>
      <c r="C367" s="4" t="s">
        <v>1681</v>
      </c>
      <c r="D367" s="4" t="s">
        <v>42</v>
      </c>
      <c r="E367" s="4" t="s">
        <v>33</v>
      </c>
      <c r="F367" s="4" t="s">
        <v>33</v>
      </c>
      <c r="G367" s="4" t="s">
        <v>1682</v>
      </c>
      <c r="H367" s="4" t="s">
        <v>1683</v>
      </c>
      <c r="I367" s="4" t="s">
        <v>1684</v>
      </c>
      <c r="J367" s="4" t="s">
        <v>1685</v>
      </c>
      <c r="K367" s="4" t="s">
        <v>1686</v>
      </c>
      <c r="L367" s="6" t="s">
        <v>147</v>
      </c>
    </row>
    <row r="368" spans="1:12" ht="72" customHeight="1">
      <c r="A368" s="4" t="s">
        <v>1687</v>
      </c>
      <c r="B368" s="4" t="s">
        <v>1680</v>
      </c>
      <c r="C368" s="4" t="s">
        <v>1688</v>
      </c>
      <c r="D368" s="4" t="s">
        <v>42</v>
      </c>
      <c r="E368" s="4" t="s">
        <v>33</v>
      </c>
      <c r="F368" s="4" t="s">
        <v>33</v>
      </c>
      <c r="G368" s="4" t="s">
        <v>1682</v>
      </c>
      <c r="H368" s="4" t="s">
        <v>1683</v>
      </c>
      <c r="I368" s="4" t="s">
        <v>1684</v>
      </c>
      <c r="J368" s="4" t="s">
        <v>1689</v>
      </c>
      <c r="K368" s="4" t="s">
        <v>1690</v>
      </c>
      <c r="L368" s="6" t="s">
        <v>183</v>
      </c>
    </row>
    <row r="369" spans="1:12" ht="72" customHeight="1">
      <c r="A369" s="4" t="s">
        <v>1691</v>
      </c>
      <c r="B369" s="4" t="s">
        <v>1680</v>
      </c>
      <c r="C369" s="4" t="s">
        <v>1692</v>
      </c>
      <c r="D369" s="4" t="s">
        <v>42</v>
      </c>
      <c r="E369" s="4" t="s">
        <v>33</v>
      </c>
      <c r="F369" s="4" t="s">
        <v>33</v>
      </c>
      <c r="G369" s="4" t="s">
        <v>1682</v>
      </c>
      <c r="H369" s="4" t="s">
        <v>1683</v>
      </c>
      <c r="I369" s="4" t="s">
        <v>1684</v>
      </c>
      <c r="J369" s="4" t="s">
        <v>1693</v>
      </c>
      <c r="K369" s="4" t="s">
        <v>1694</v>
      </c>
      <c r="L369" s="6" t="s">
        <v>518</v>
      </c>
    </row>
    <row r="370" spans="1:12" ht="72" customHeight="1">
      <c r="A370" s="4" t="s">
        <v>1695</v>
      </c>
      <c r="B370" s="4" t="s">
        <v>1680</v>
      </c>
      <c r="C370" s="4" t="s">
        <v>1696</v>
      </c>
      <c r="D370" s="4" t="s">
        <v>42</v>
      </c>
      <c r="E370" s="4" t="s">
        <v>33</v>
      </c>
      <c r="F370" s="4" t="s">
        <v>33</v>
      </c>
      <c r="G370" s="4" t="s">
        <v>1682</v>
      </c>
      <c r="H370" s="4" t="s">
        <v>1683</v>
      </c>
      <c r="I370" s="4" t="s">
        <v>1684</v>
      </c>
      <c r="J370" s="4" t="s">
        <v>1697</v>
      </c>
      <c r="K370" s="4" t="s">
        <v>1698</v>
      </c>
      <c r="L370" s="6" t="s">
        <v>165</v>
      </c>
    </row>
    <row r="371" spans="1:12" ht="72" customHeight="1">
      <c r="A371" s="4" t="s">
        <v>1699</v>
      </c>
      <c r="B371" s="4" t="s">
        <v>1700</v>
      </c>
      <c r="C371" s="4" t="s">
        <v>1701</v>
      </c>
      <c r="D371" s="4" t="s">
        <v>42</v>
      </c>
      <c r="E371" s="4" t="s">
        <v>33</v>
      </c>
      <c r="F371" s="4" t="s">
        <v>33</v>
      </c>
      <c r="G371" s="4" t="s">
        <v>1702</v>
      </c>
      <c r="H371" s="4" t="s">
        <v>1703</v>
      </c>
      <c r="I371" s="4" t="s">
        <v>1704</v>
      </c>
      <c r="J371" s="4" t="s">
        <v>1705</v>
      </c>
      <c r="K371" s="4" t="s">
        <v>1706</v>
      </c>
      <c r="L371" s="6" t="s">
        <v>518</v>
      </c>
    </row>
    <row r="372" spans="1:12" ht="72" customHeight="1">
      <c r="A372" s="4" t="s">
        <v>1707</v>
      </c>
      <c r="B372" s="4" t="s">
        <v>1700</v>
      </c>
      <c r="C372" s="4" t="s">
        <v>1708</v>
      </c>
      <c r="D372" s="4" t="s">
        <v>42</v>
      </c>
      <c r="E372" s="4" t="s">
        <v>33</v>
      </c>
      <c r="F372" s="4" t="s">
        <v>33</v>
      </c>
      <c r="G372" s="4" t="s">
        <v>1702</v>
      </c>
      <c r="H372" s="4" t="s">
        <v>1703</v>
      </c>
      <c r="I372" s="4" t="s">
        <v>1704</v>
      </c>
      <c r="J372" s="4" t="s">
        <v>1709</v>
      </c>
      <c r="K372" s="4" t="s">
        <v>1710</v>
      </c>
      <c r="L372" s="6" t="s">
        <v>165</v>
      </c>
    </row>
    <row r="373" spans="1:12" ht="72" customHeight="1">
      <c r="A373" s="4" t="s">
        <v>1711</v>
      </c>
      <c r="B373" s="4" t="s">
        <v>1700</v>
      </c>
      <c r="C373" s="4" t="s">
        <v>1712</v>
      </c>
      <c r="D373" s="4" t="s">
        <v>42</v>
      </c>
      <c r="E373" s="4" t="s">
        <v>33</v>
      </c>
      <c r="F373" s="4" t="s">
        <v>33</v>
      </c>
      <c r="G373" s="4" t="s">
        <v>1702</v>
      </c>
      <c r="H373" s="4" t="s">
        <v>1703</v>
      </c>
      <c r="I373" s="4" t="s">
        <v>1704</v>
      </c>
      <c r="J373" s="4" t="s">
        <v>1713</v>
      </c>
      <c r="K373" s="4" t="s">
        <v>1706</v>
      </c>
      <c r="L373" s="6" t="s">
        <v>518</v>
      </c>
    </row>
    <row r="374" spans="1:12" ht="72" customHeight="1">
      <c r="A374" s="4" t="s">
        <v>1714</v>
      </c>
      <c r="B374" s="4" t="s">
        <v>1700</v>
      </c>
      <c r="C374" s="4" t="s">
        <v>1715</v>
      </c>
      <c r="D374" s="4" t="s">
        <v>42</v>
      </c>
      <c r="E374" s="4" t="s">
        <v>33</v>
      </c>
      <c r="F374" s="4" t="s">
        <v>33</v>
      </c>
      <c r="G374" s="4" t="s">
        <v>1702</v>
      </c>
      <c r="H374" s="4" t="s">
        <v>1703</v>
      </c>
      <c r="I374" s="4" t="s">
        <v>1704</v>
      </c>
      <c r="J374" s="4" t="s">
        <v>1716</v>
      </c>
      <c r="K374" s="4" t="s">
        <v>1706</v>
      </c>
      <c r="L374" s="6" t="s">
        <v>88</v>
      </c>
    </row>
    <row r="375" spans="1:12" ht="72" customHeight="1">
      <c r="A375" s="4" t="s">
        <v>1717</v>
      </c>
      <c r="B375" s="4" t="s">
        <v>1718</v>
      </c>
      <c r="C375" s="4" t="s">
        <v>1719</v>
      </c>
      <c r="D375" s="4" t="s">
        <v>42</v>
      </c>
      <c r="E375" s="4" t="s">
        <v>33</v>
      </c>
      <c r="F375" s="4" t="s">
        <v>33</v>
      </c>
      <c r="G375" s="4" t="s">
        <v>1720</v>
      </c>
      <c r="H375" s="4" t="s">
        <v>1721</v>
      </c>
      <c r="I375" s="4" t="s">
        <v>1722</v>
      </c>
      <c r="J375" s="4" t="s">
        <v>1723</v>
      </c>
      <c r="K375" s="4" t="s">
        <v>1724</v>
      </c>
      <c r="L375" s="6" t="s">
        <v>66</v>
      </c>
    </row>
    <row r="376" spans="1:12" ht="72" customHeight="1">
      <c r="A376" s="4" t="s">
        <v>1725</v>
      </c>
      <c r="B376" s="4" t="s">
        <v>1718</v>
      </c>
      <c r="C376" s="4" t="s">
        <v>1726</v>
      </c>
      <c r="D376" s="4" t="s">
        <v>42</v>
      </c>
      <c r="E376" s="4" t="s">
        <v>33</v>
      </c>
      <c r="F376" s="4" t="s">
        <v>33</v>
      </c>
      <c r="G376" s="4" t="s">
        <v>1720</v>
      </c>
      <c r="H376" s="4" t="s">
        <v>1721</v>
      </c>
      <c r="I376" s="4" t="s">
        <v>1722</v>
      </c>
      <c r="J376" s="4" t="s">
        <v>1727</v>
      </c>
      <c r="K376" s="4" t="s">
        <v>1728</v>
      </c>
      <c r="L376" s="6" t="s">
        <v>141</v>
      </c>
    </row>
    <row r="377" spans="1:12" ht="72" customHeight="1">
      <c r="A377" s="4" t="s">
        <v>1729</v>
      </c>
      <c r="B377" s="4" t="s">
        <v>1718</v>
      </c>
      <c r="C377" s="4" t="s">
        <v>1730</v>
      </c>
      <c r="D377" s="4" t="s">
        <v>42</v>
      </c>
      <c r="E377" s="4" t="s">
        <v>33</v>
      </c>
      <c r="F377" s="4" t="s">
        <v>33</v>
      </c>
      <c r="G377" s="4" t="s">
        <v>1720</v>
      </c>
      <c r="H377" s="4" t="s">
        <v>1721</v>
      </c>
      <c r="I377" s="4" t="s">
        <v>1722</v>
      </c>
      <c r="J377" s="4" t="s">
        <v>1731</v>
      </c>
      <c r="K377" s="4" t="s">
        <v>1724</v>
      </c>
      <c r="L377" s="6" t="s">
        <v>159</v>
      </c>
    </row>
    <row r="378" spans="1:12" ht="72" customHeight="1">
      <c r="A378" s="4" t="s">
        <v>1732</v>
      </c>
      <c r="B378" s="4" t="s">
        <v>1718</v>
      </c>
      <c r="C378" s="4" t="s">
        <v>1733</v>
      </c>
      <c r="D378" s="4" t="s">
        <v>42</v>
      </c>
      <c r="E378" s="4" t="s">
        <v>33</v>
      </c>
      <c r="F378" s="4" t="s">
        <v>33</v>
      </c>
      <c r="G378" s="4" t="s">
        <v>1720</v>
      </c>
      <c r="H378" s="4" t="s">
        <v>1721</v>
      </c>
      <c r="I378" s="4" t="s">
        <v>1722</v>
      </c>
      <c r="J378" s="4" t="s">
        <v>1734</v>
      </c>
      <c r="K378" s="4" t="s">
        <v>1724</v>
      </c>
      <c r="L378" s="6" t="s">
        <v>165</v>
      </c>
    </row>
    <row r="379" spans="1:12" ht="72" customHeight="1">
      <c r="A379" s="4" t="s">
        <v>1735</v>
      </c>
      <c r="B379" s="4" t="s">
        <v>1718</v>
      </c>
      <c r="C379" s="4" t="s">
        <v>1736</v>
      </c>
      <c r="D379" s="4" t="s">
        <v>42</v>
      </c>
      <c r="E379" s="4" t="s">
        <v>33</v>
      </c>
      <c r="F379" s="4" t="s">
        <v>33</v>
      </c>
      <c r="G379" s="4" t="s">
        <v>1720</v>
      </c>
      <c r="H379" s="4" t="s">
        <v>1721</v>
      </c>
      <c r="I379" s="4" t="s">
        <v>1722</v>
      </c>
      <c r="J379" s="4" t="s">
        <v>1737</v>
      </c>
      <c r="K379" s="4" t="s">
        <v>1724</v>
      </c>
      <c r="L379" s="6" t="s">
        <v>88</v>
      </c>
    </row>
    <row r="380" spans="1:12" ht="72" customHeight="1">
      <c r="A380" s="4" t="s">
        <v>1738</v>
      </c>
      <c r="B380" s="4" t="s">
        <v>1718</v>
      </c>
      <c r="C380" s="4" t="s">
        <v>1739</v>
      </c>
      <c r="D380" s="4" t="s">
        <v>42</v>
      </c>
      <c r="E380" s="4" t="s">
        <v>33</v>
      </c>
      <c r="F380" s="4" t="s">
        <v>33</v>
      </c>
      <c r="G380" s="4" t="s">
        <v>1720</v>
      </c>
      <c r="H380" s="4" t="s">
        <v>1721</v>
      </c>
      <c r="I380" s="4" t="s">
        <v>1722</v>
      </c>
      <c r="J380" s="4" t="s">
        <v>1740</v>
      </c>
      <c r="K380" s="4" t="s">
        <v>1741</v>
      </c>
      <c r="L380" s="6" t="s">
        <v>518</v>
      </c>
    </row>
    <row r="381" spans="1:12" ht="72" customHeight="1">
      <c r="A381" s="4" t="s">
        <v>1742</v>
      </c>
      <c r="B381" s="4" t="s">
        <v>1718</v>
      </c>
      <c r="C381" s="4" t="s">
        <v>1743</v>
      </c>
      <c r="D381" s="4" t="s">
        <v>42</v>
      </c>
      <c r="E381" s="4" t="s">
        <v>33</v>
      </c>
      <c r="F381" s="4" t="s">
        <v>33</v>
      </c>
      <c r="G381" s="4" t="s">
        <v>1720</v>
      </c>
      <c r="H381" s="4" t="s">
        <v>1721</v>
      </c>
      <c r="I381" s="4" t="s">
        <v>1722</v>
      </c>
      <c r="J381" s="4" t="s">
        <v>1744</v>
      </c>
      <c r="K381" s="4" t="s">
        <v>1745</v>
      </c>
      <c r="L381" s="6" t="s">
        <v>1045</v>
      </c>
    </row>
    <row r="382" spans="1:12" ht="72" customHeight="1">
      <c r="A382" s="4" t="s">
        <v>1746</v>
      </c>
      <c r="B382" s="4" t="s">
        <v>1718</v>
      </c>
      <c r="C382" s="4" t="s">
        <v>1747</v>
      </c>
      <c r="D382" s="4" t="s">
        <v>42</v>
      </c>
      <c r="E382" s="4" t="s">
        <v>33</v>
      </c>
      <c r="F382" s="4" t="s">
        <v>33</v>
      </c>
      <c r="G382" s="4" t="s">
        <v>1720</v>
      </c>
      <c r="H382" s="4" t="s">
        <v>1721</v>
      </c>
      <c r="I382" s="4" t="s">
        <v>1722</v>
      </c>
      <c r="J382" s="4" t="s">
        <v>1748</v>
      </c>
      <c r="K382" s="4" t="s">
        <v>1724</v>
      </c>
      <c r="L382" s="6" t="s">
        <v>1749</v>
      </c>
    </row>
    <row r="383" spans="1:12" ht="72" customHeight="1">
      <c r="A383" s="4" t="s">
        <v>1750</v>
      </c>
      <c r="B383" s="4" t="s">
        <v>1718</v>
      </c>
      <c r="C383" s="4" t="s">
        <v>1751</v>
      </c>
      <c r="D383" s="4" t="s">
        <v>42</v>
      </c>
      <c r="E383" s="4" t="s">
        <v>33</v>
      </c>
      <c r="F383" s="4" t="s">
        <v>33</v>
      </c>
      <c r="G383" s="4" t="s">
        <v>1720</v>
      </c>
      <c r="H383" s="4" t="s">
        <v>1721</v>
      </c>
      <c r="I383" s="4" t="s">
        <v>1722</v>
      </c>
      <c r="J383" s="4" t="s">
        <v>1752</v>
      </c>
      <c r="K383" s="4" t="s">
        <v>1753</v>
      </c>
      <c r="L383" s="6" t="s">
        <v>103</v>
      </c>
    </row>
    <row r="384" spans="1:12" ht="72" customHeight="1">
      <c r="A384" s="4" t="s">
        <v>1754</v>
      </c>
      <c r="B384" s="4" t="s">
        <v>1755</v>
      </c>
      <c r="C384" s="4" t="s">
        <v>1756</v>
      </c>
      <c r="D384" s="4" t="s">
        <v>42</v>
      </c>
      <c r="E384" s="4" t="s">
        <v>33</v>
      </c>
      <c r="F384" s="4" t="s">
        <v>33</v>
      </c>
      <c r="G384" s="4" t="s">
        <v>1757</v>
      </c>
      <c r="H384" s="4" t="s">
        <v>1758</v>
      </c>
      <c r="I384" s="4" t="s">
        <v>1759</v>
      </c>
      <c r="J384" s="4" t="s">
        <v>1760</v>
      </c>
      <c r="K384" s="4" t="s">
        <v>1761</v>
      </c>
      <c r="L384" s="6" t="s">
        <v>66</v>
      </c>
    </row>
    <row r="385" spans="1:12" ht="72" customHeight="1">
      <c r="A385" s="4" t="s">
        <v>1762</v>
      </c>
      <c r="B385" s="4" t="s">
        <v>1755</v>
      </c>
      <c r="C385" s="4" t="s">
        <v>1763</v>
      </c>
      <c r="D385" s="4" t="s">
        <v>42</v>
      </c>
      <c r="E385" s="4" t="s">
        <v>33</v>
      </c>
      <c r="F385" s="4" t="s">
        <v>33</v>
      </c>
      <c r="G385" s="4" t="s">
        <v>1757</v>
      </c>
      <c r="H385" s="4" t="s">
        <v>1758</v>
      </c>
      <c r="I385" s="4" t="s">
        <v>1759</v>
      </c>
      <c r="J385" s="4" t="s">
        <v>1764</v>
      </c>
      <c r="K385" s="4" t="s">
        <v>1765</v>
      </c>
      <c r="L385" s="6" t="s">
        <v>103</v>
      </c>
    </row>
    <row r="386" spans="1:12" ht="72" customHeight="1">
      <c r="A386" s="4" t="s">
        <v>1766</v>
      </c>
      <c r="B386" s="4" t="s">
        <v>1755</v>
      </c>
      <c r="C386" s="4" t="s">
        <v>1767</v>
      </c>
      <c r="D386" s="4" t="s">
        <v>42</v>
      </c>
      <c r="E386" s="4" t="s">
        <v>33</v>
      </c>
      <c r="F386" s="4" t="s">
        <v>33</v>
      </c>
      <c r="G386" s="4" t="s">
        <v>1757</v>
      </c>
      <c r="H386" s="4" t="s">
        <v>1758</v>
      </c>
      <c r="I386" s="4" t="s">
        <v>1759</v>
      </c>
      <c r="J386" s="4" t="s">
        <v>1768</v>
      </c>
      <c r="K386" s="4" t="s">
        <v>1765</v>
      </c>
      <c r="L386" s="6" t="s">
        <v>88</v>
      </c>
    </row>
    <row r="387" spans="1:12" ht="72" customHeight="1">
      <c r="A387" s="4" t="s">
        <v>1769</v>
      </c>
      <c r="B387" s="4" t="s">
        <v>1755</v>
      </c>
      <c r="C387" s="4" t="s">
        <v>1770</v>
      </c>
      <c r="D387" s="4" t="s">
        <v>42</v>
      </c>
      <c r="E387" s="4" t="s">
        <v>33</v>
      </c>
      <c r="F387" s="4" t="s">
        <v>33</v>
      </c>
      <c r="G387" s="4" t="s">
        <v>1757</v>
      </c>
      <c r="H387" s="4" t="s">
        <v>1758</v>
      </c>
      <c r="I387" s="4" t="s">
        <v>1759</v>
      </c>
      <c r="J387" s="4" t="s">
        <v>1771</v>
      </c>
      <c r="K387" s="4" t="s">
        <v>1772</v>
      </c>
      <c r="L387" s="6" t="s">
        <v>183</v>
      </c>
    </row>
    <row r="388" spans="1:12" ht="72" customHeight="1">
      <c r="A388" s="4" t="s">
        <v>1773</v>
      </c>
      <c r="B388" s="4" t="s">
        <v>1774</v>
      </c>
      <c r="C388" s="4" t="s">
        <v>1775</v>
      </c>
      <c r="D388" s="4" t="s">
        <v>42</v>
      </c>
      <c r="E388" s="4" t="s">
        <v>33</v>
      </c>
      <c r="F388" s="4" t="s">
        <v>33</v>
      </c>
      <c r="G388" s="4" t="s">
        <v>1776</v>
      </c>
      <c r="H388" s="4" t="s">
        <v>1777</v>
      </c>
      <c r="I388" s="4" t="s">
        <v>1778</v>
      </c>
      <c r="J388" s="4" t="s">
        <v>1779</v>
      </c>
      <c r="K388" s="4" t="s">
        <v>1780</v>
      </c>
      <c r="L388" s="6" t="s">
        <v>47</v>
      </c>
    </row>
    <row r="389" spans="1:12" ht="72" customHeight="1">
      <c r="A389" s="4" t="s">
        <v>1781</v>
      </c>
      <c r="B389" s="4" t="s">
        <v>1774</v>
      </c>
      <c r="C389" s="4" t="s">
        <v>1782</v>
      </c>
      <c r="D389" s="4" t="s">
        <v>42</v>
      </c>
      <c r="E389" s="4" t="s">
        <v>33</v>
      </c>
      <c r="F389" s="4" t="s">
        <v>33</v>
      </c>
      <c r="G389" s="4" t="s">
        <v>1776</v>
      </c>
      <c r="H389" s="4" t="s">
        <v>1777</v>
      </c>
      <c r="I389" s="4" t="s">
        <v>1778</v>
      </c>
      <c r="J389" s="4" t="s">
        <v>1783</v>
      </c>
      <c r="K389" s="4" t="s">
        <v>1780</v>
      </c>
      <c r="L389" s="6" t="s">
        <v>518</v>
      </c>
    </row>
    <row r="390" spans="1:12" ht="72" customHeight="1">
      <c r="A390" s="4" t="s">
        <v>1784</v>
      </c>
      <c r="B390" s="4" t="s">
        <v>1774</v>
      </c>
      <c r="C390" s="4" t="s">
        <v>1785</v>
      </c>
      <c r="D390" s="4" t="s">
        <v>42</v>
      </c>
      <c r="E390" s="4" t="s">
        <v>33</v>
      </c>
      <c r="F390" s="4" t="s">
        <v>33</v>
      </c>
      <c r="G390" s="4" t="s">
        <v>1776</v>
      </c>
      <c r="H390" s="4" t="s">
        <v>1777</v>
      </c>
      <c r="I390" s="4" t="s">
        <v>1778</v>
      </c>
      <c r="J390" s="4" t="s">
        <v>1786</v>
      </c>
      <c r="K390" s="4" t="s">
        <v>1780</v>
      </c>
      <c r="L390" s="6" t="s">
        <v>1749</v>
      </c>
    </row>
    <row r="391" spans="1:12" ht="72" customHeight="1">
      <c r="A391" s="4" t="s">
        <v>1787</v>
      </c>
      <c r="B391" s="4" t="s">
        <v>1774</v>
      </c>
      <c r="C391" s="4" t="s">
        <v>1788</v>
      </c>
      <c r="D391" s="4" t="s">
        <v>42</v>
      </c>
      <c r="E391" s="4" t="s">
        <v>33</v>
      </c>
      <c r="F391" s="4" t="s">
        <v>33</v>
      </c>
      <c r="G391" s="4" t="s">
        <v>1776</v>
      </c>
      <c r="H391" s="4" t="s">
        <v>1777</v>
      </c>
      <c r="I391" s="4" t="s">
        <v>1778</v>
      </c>
      <c r="J391" s="4" t="s">
        <v>1789</v>
      </c>
      <c r="K391" s="4" t="s">
        <v>1790</v>
      </c>
      <c r="L391" s="6" t="s">
        <v>518</v>
      </c>
    </row>
    <row r="392" spans="1:12" ht="72" customHeight="1">
      <c r="A392" s="4" t="s">
        <v>1791</v>
      </c>
      <c r="B392" s="4" t="s">
        <v>1774</v>
      </c>
      <c r="C392" s="4" t="s">
        <v>1792</v>
      </c>
      <c r="D392" s="4" t="s">
        <v>42</v>
      </c>
      <c r="E392" s="4" t="s">
        <v>33</v>
      </c>
      <c r="F392" s="4" t="s">
        <v>33</v>
      </c>
      <c r="G392" s="4" t="s">
        <v>1776</v>
      </c>
      <c r="H392" s="4" t="s">
        <v>1777</v>
      </c>
      <c r="I392" s="4" t="s">
        <v>1778</v>
      </c>
      <c r="J392" s="4" t="s">
        <v>1793</v>
      </c>
      <c r="K392" s="4" t="s">
        <v>1780</v>
      </c>
      <c r="L392" s="6" t="s">
        <v>1749</v>
      </c>
    </row>
    <row r="393" spans="1:12" ht="72" customHeight="1">
      <c r="A393" s="4" t="s">
        <v>1794</v>
      </c>
      <c r="B393" s="4" t="s">
        <v>1774</v>
      </c>
      <c r="C393" s="4" t="s">
        <v>1795</v>
      </c>
      <c r="D393" s="4" t="s">
        <v>42</v>
      </c>
      <c r="E393" s="4" t="s">
        <v>33</v>
      </c>
      <c r="F393" s="4" t="s">
        <v>33</v>
      </c>
      <c r="G393" s="4" t="s">
        <v>1776</v>
      </c>
      <c r="H393" s="4" t="s">
        <v>1777</v>
      </c>
      <c r="I393" s="4" t="s">
        <v>1778</v>
      </c>
      <c r="J393" s="4" t="s">
        <v>1796</v>
      </c>
      <c r="K393" s="4" t="s">
        <v>1780</v>
      </c>
      <c r="L393" s="6" t="s">
        <v>88</v>
      </c>
    </row>
    <row r="394" spans="1:12" ht="72" customHeight="1">
      <c r="A394" s="4" t="s">
        <v>1797</v>
      </c>
      <c r="B394" s="4" t="s">
        <v>1774</v>
      </c>
      <c r="C394" s="4" t="s">
        <v>1798</v>
      </c>
      <c r="D394" s="4" t="s">
        <v>42</v>
      </c>
      <c r="E394" s="4" t="s">
        <v>33</v>
      </c>
      <c r="F394" s="4" t="s">
        <v>33</v>
      </c>
      <c r="G394" s="4" t="s">
        <v>1776</v>
      </c>
      <c r="H394" s="4" t="s">
        <v>1777</v>
      </c>
      <c r="I394" s="4" t="s">
        <v>1778</v>
      </c>
      <c r="J394" s="4" t="s">
        <v>1799</v>
      </c>
      <c r="K394" s="4" t="s">
        <v>1800</v>
      </c>
      <c r="L394" s="6" t="s">
        <v>518</v>
      </c>
    </row>
    <row r="395" spans="1:12" ht="72" customHeight="1">
      <c r="A395" s="4" t="s">
        <v>1801</v>
      </c>
      <c r="B395" s="4" t="s">
        <v>1774</v>
      </c>
      <c r="C395" s="4" t="s">
        <v>1802</v>
      </c>
      <c r="D395" s="4" t="s">
        <v>42</v>
      </c>
      <c r="E395" s="4" t="s">
        <v>33</v>
      </c>
      <c r="F395" s="4" t="s">
        <v>33</v>
      </c>
      <c r="G395" s="4" t="s">
        <v>1776</v>
      </c>
      <c r="H395" s="4" t="s">
        <v>1777</v>
      </c>
      <c r="I395" s="4" t="s">
        <v>1778</v>
      </c>
      <c r="J395" s="4" t="s">
        <v>1803</v>
      </c>
      <c r="K395" s="4" t="s">
        <v>1780</v>
      </c>
      <c r="L395" s="6" t="s">
        <v>1749</v>
      </c>
    </row>
    <row r="396" spans="1:12" ht="72" customHeight="1">
      <c r="A396" s="4" t="s">
        <v>1804</v>
      </c>
      <c r="B396" s="4" t="s">
        <v>1774</v>
      </c>
      <c r="C396" s="4" t="s">
        <v>1805</v>
      </c>
      <c r="D396" s="4" t="s">
        <v>42</v>
      </c>
      <c r="E396" s="4" t="s">
        <v>33</v>
      </c>
      <c r="F396" s="4" t="s">
        <v>33</v>
      </c>
      <c r="G396" s="4" t="s">
        <v>1776</v>
      </c>
      <c r="H396" s="4" t="s">
        <v>1777</v>
      </c>
      <c r="I396" s="4" t="s">
        <v>1778</v>
      </c>
      <c r="J396" s="4" t="s">
        <v>1806</v>
      </c>
      <c r="K396" s="4" t="s">
        <v>1807</v>
      </c>
      <c r="L396" s="6" t="s">
        <v>165</v>
      </c>
    </row>
    <row r="397" spans="1:12" ht="72" customHeight="1">
      <c r="A397" s="4" t="s">
        <v>1808</v>
      </c>
      <c r="B397" s="4" t="s">
        <v>1774</v>
      </c>
      <c r="C397" s="4" t="s">
        <v>1809</v>
      </c>
      <c r="D397" s="4" t="s">
        <v>42</v>
      </c>
      <c r="E397" s="4" t="s">
        <v>33</v>
      </c>
      <c r="F397" s="4" t="s">
        <v>33</v>
      </c>
      <c r="G397" s="4" t="s">
        <v>1776</v>
      </c>
      <c r="H397" s="4" t="s">
        <v>1777</v>
      </c>
      <c r="I397" s="4" t="s">
        <v>1778</v>
      </c>
      <c r="J397" s="4" t="s">
        <v>1810</v>
      </c>
      <c r="K397" s="4" t="s">
        <v>1811</v>
      </c>
      <c r="L397" s="6" t="s">
        <v>165</v>
      </c>
    </row>
    <row r="398" spans="1:12" ht="72" customHeight="1">
      <c r="A398" s="4" t="s">
        <v>1812</v>
      </c>
      <c r="B398" s="4" t="s">
        <v>1774</v>
      </c>
      <c r="C398" s="4" t="s">
        <v>1813</v>
      </c>
      <c r="D398" s="4" t="s">
        <v>42</v>
      </c>
      <c r="E398" s="4" t="s">
        <v>33</v>
      </c>
      <c r="F398" s="4" t="s">
        <v>33</v>
      </c>
      <c r="G398" s="4" t="s">
        <v>1776</v>
      </c>
      <c r="H398" s="4" t="s">
        <v>1777</v>
      </c>
      <c r="I398" s="4" t="s">
        <v>1778</v>
      </c>
      <c r="J398" s="4" t="s">
        <v>1814</v>
      </c>
      <c r="K398" s="4" t="s">
        <v>1780</v>
      </c>
      <c r="L398" s="6" t="s">
        <v>165</v>
      </c>
    </row>
    <row r="399" spans="1:12" ht="72" customHeight="1">
      <c r="A399" s="4" t="s">
        <v>1815</v>
      </c>
      <c r="B399" s="4" t="s">
        <v>1774</v>
      </c>
      <c r="C399" s="4" t="s">
        <v>1816</v>
      </c>
      <c r="D399" s="4" t="s">
        <v>42</v>
      </c>
      <c r="E399" s="4" t="s">
        <v>33</v>
      </c>
      <c r="F399" s="4" t="s">
        <v>33</v>
      </c>
      <c r="G399" s="4" t="s">
        <v>1776</v>
      </c>
      <c r="H399" s="4" t="s">
        <v>1777</v>
      </c>
      <c r="I399" s="4" t="s">
        <v>1778</v>
      </c>
      <c r="J399" s="4" t="s">
        <v>1817</v>
      </c>
      <c r="K399" s="4" t="s">
        <v>1818</v>
      </c>
      <c r="L399" s="6" t="s">
        <v>116</v>
      </c>
    </row>
    <row r="400" spans="1:12" ht="72" customHeight="1">
      <c r="A400" s="4" t="s">
        <v>1819</v>
      </c>
      <c r="B400" s="4" t="s">
        <v>1774</v>
      </c>
      <c r="C400" s="4" t="s">
        <v>1820</v>
      </c>
      <c r="D400" s="4" t="s">
        <v>42</v>
      </c>
      <c r="E400" s="4" t="s">
        <v>33</v>
      </c>
      <c r="F400" s="4" t="s">
        <v>33</v>
      </c>
      <c r="G400" s="4" t="s">
        <v>1776</v>
      </c>
      <c r="H400" s="4" t="s">
        <v>1777</v>
      </c>
      <c r="I400" s="4" t="s">
        <v>1778</v>
      </c>
      <c r="J400" s="4" t="s">
        <v>1821</v>
      </c>
      <c r="K400" s="4" t="s">
        <v>1822</v>
      </c>
      <c r="L400" s="6" t="s">
        <v>103</v>
      </c>
    </row>
    <row r="401" spans="1:12" ht="72" customHeight="1">
      <c r="A401" s="4" t="s">
        <v>1823</v>
      </c>
      <c r="B401" s="4" t="s">
        <v>1774</v>
      </c>
      <c r="C401" s="4" t="s">
        <v>1824</v>
      </c>
      <c r="D401" s="4" t="s">
        <v>42</v>
      </c>
      <c r="E401" s="4" t="s">
        <v>33</v>
      </c>
      <c r="F401" s="4" t="s">
        <v>33</v>
      </c>
      <c r="G401" s="4" t="s">
        <v>1776</v>
      </c>
      <c r="H401" s="4" t="s">
        <v>1777</v>
      </c>
      <c r="I401" s="4" t="s">
        <v>1778</v>
      </c>
      <c r="J401" s="4" t="s">
        <v>1825</v>
      </c>
      <c r="K401" s="4" t="s">
        <v>1822</v>
      </c>
      <c r="L401" s="6" t="s">
        <v>103</v>
      </c>
    </row>
    <row r="402" spans="1:12" ht="72" customHeight="1">
      <c r="A402" s="4" t="s">
        <v>1826</v>
      </c>
      <c r="B402" s="4" t="s">
        <v>1827</v>
      </c>
      <c r="C402" s="4" t="s">
        <v>1828</v>
      </c>
      <c r="D402" s="4" t="s">
        <v>42</v>
      </c>
      <c r="E402" s="4" t="s">
        <v>33</v>
      </c>
      <c r="F402" s="4" t="s">
        <v>33</v>
      </c>
      <c r="G402" s="4" t="s">
        <v>1829</v>
      </c>
      <c r="H402" s="4" t="s">
        <v>1830</v>
      </c>
      <c r="I402" s="4" t="s">
        <v>1831</v>
      </c>
      <c r="J402" s="4" t="s">
        <v>1832</v>
      </c>
      <c r="K402" s="4" t="s">
        <v>1833</v>
      </c>
      <c r="L402" s="6" t="s">
        <v>518</v>
      </c>
    </row>
    <row r="403" spans="1:12" ht="72" customHeight="1">
      <c r="A403" s="4" t="s">
        <v>1834</v>
      </c>
      <c r="B403" s="4" t="s">
        <v>1827</v>
      </c>
      <c r="C403" s="4" t="s">
        <v>1835</v>
      </c>
      <c r="D403" s="4" t="s">
        <v>42</v>
      </c>
      <c r="E403" s="4" t="s">
        <v>33</v>
      </c>
      <c r="F403" s="4" t="s">
        <v>33</v>
      </c>
      <c r="G403" s="4" t="s">
        <v>1829</v>
      </c>
      <c r="H403" s="4" t="s">
        <v>1830</v>
      </c>
      <c r="I403" s="4" t="s">
        <v>1831</v>
      </c>
      <c r="J403" s="4" t="s">
        <v>1836</v>
      </c>
      <c r="K403" s="4" t="s">
        <v>1837</v>
      </c>
      <c r="L403" s="6" t="s">
        <v>1749</v>
      </c>
    </row>
    <row r="404" spans="1:12" ht="72" customHeight="1">
      <c r="A404" s="4" t="s">
        <v>1838</v>
      </c>
      <c r="B404" s="4" t="s">
        <v>1827</v>
      </c>
      <c r="C404" s="4" t="s">
        <v>1839</v>
      </c>
      <c r="D404" s="4" t="s">
        <v>42</v>
      </c>
      <c r="E404" s="4" t="s">
        <v>33</v>
      </c>
      <c r="F404" s="4" t="s">
        <v>33</v>
      </c>
      <c r="G404" s="4" t="s">
        <v>1829</v>
      </c>
      <c r="H404" s="4" t="s">
        <v>1830</v>
      </c>
      <c r="I404" s="4" t="s">
        <v>1831</v>
      </c>
      <c r="J404" s="4" t="s">
        <v>1840</v>
      </c>
      <c r="K404" s="4" t="s">
        <v>1841</v>
      </c>
      <c r="L404" s="6" t="s">
        <v>116</v>
      </c>
    </row>
    <row r="405" spans="1:12" ht="72" customHeight="1">
      <c r="A405" s="4" t="s">
        <v>1842</v>
      </c>
      <c r="B405" s="4" t="s">
        <v>1843</v>
      </c>
      <c r="C405" s="4" t="s">
        <v>1844</v>
      </c>
      <c r="D405" s="4" t="s">
        <v>42</v>
      </c>
      <c r="E405" s="4" t="s">
        <v>33</v>
      </c>
      <c r="F405" s="4" t="s">
        <v>33</v>
      </c>
      <c r="G405" s="4" t="s">
        <v>1829</v>
      </c>
      <c r="H405" s="4" t="s">
        <v>1845</v>
      </c>
      <c r="I405" s="4" t="s">
        <v>1846</v>
      </c>
      <c r="J405" s="4" t="s">
        <v>1847</v>
      </c>
      <c r="K405" s="4" t="s">
        <v>1848</v>
      </c>
      <c r="L405" s="6" t="s">
        <v>39</v>
      </c>
    </row>
    <row r="406" spans="1:12" ht="72" customHeight="1">
      <c r="A406" s="4" t="s">
        <v>1849</v>
      </c>
      <c r="B406" s="4" t="s">
        <v>1843</v>
      </c>
      <c r="C406" s="4" t="s">
        <v>1850</v>
      </c>
      <c r="D406" s="4" t="s">
        <v>42</v>
      </c>
      <c r="E406" s="4" t="s">
        <v>33</v>
      </c>
      <c r="F406" s="4" t="s">
        <v>33</v>
      </c>
      <c r="G406" s="4" t="s">
        <v>1829</v>
      </c>
      <c r="H406" s="4" t="s">
        <v>1845</v>
      </c>
      <c r="I406" s="4" t="s">
        <v>1846</v>
      </c>
      <c r="J406" s="4" t="s">
        <v>1851</v>
      </c>
      <c r="K406" s="4" t="s">
        <v>1852</v>
      </c>
      <c r="L406" s="6" t="s">
        <v>103</v>
      </c>
    </row>
    <row r="407" spans="1:12" ht="72" customHeight="1">
      <c r="A407" s="4" t="s">
        <v>1853</v>
      </c>
      <c r="B407" s="4" t="s">
        <v>1854</v>
      </c>
      <c r="C407" s="4" t="s">
        <v>1855</v>
      </c>
      <c r="D407" s="4" t="s">
        <v>42</v>
      </c>
      <c r="E407" s="4" t="s">
        <v>33</v>
      </c>
      <c r="F407" s="4" t="s">
        <v>33</v>
      </c>
      <c r="G407" s="4" t="s">
        <v>1856</v>
      </c>
      <c r="H407" s="4" t="s">
        <v>1857</v>
      </c>
      <c r="I407" s="4" t="s">
        <v>1858</v>
      </c>
      <c r="J407" s="4" t="s">
        <v>1859</v>
      </c>
      <c r="K407" s="4" t="s">
        <v>1860</v>
      </c>
      <c r="L407" s="6" t="s">
        <v>39</v>
      </c>
    </row>
    <row r="408" spans="1:12" ht="72" customHeight="1">
      <c r="A408" s="4" t="s">
        <v>1861</v>
      </c>
      <c r="B408" s="4" t="s">
        <v>1854</v>
      </c>
      <c r="C408" s="4" t="s">
        <v>1862</v>
      </c>
      <c r="D408" s="4" t="s">
        <v>42</v>
      </c>
      <c r="E408" s="4" t="s">
        <v>33</v>
      </c>
      <c r="F408" s="4" t="s">
        <v>33</v>
      </c>
      <c r="G408" s="4" t="s">
        <v>1856</v>
      </c>
      <c r="H408" s="4" t="s">
        <v>1857</v>
      </c>
      <c r="I408" s="4" t="s">
        <v>1858</v>
      </c>
      <c r="J408" s="4" t="s">
        <v>1863</v>
      </c>
      <c r="K408" s="4" t="s">
        <v>1860</v>
      </c>
      <c r="L408" s="6" t="s">
        <v>159</v>
      </c>
    </row>
    <row r="409" spans="1:12" ht="72" customHeight="1">
      <c r="A409" s="4" t="s">
        <v>1864</v>
      </c>
      <c r="B409" s="4" t="s">
        <v>1854</v>
      </c>
      <c r="C409" s="4" t="s">
        <v>1865</v>
      </c>
      <c r="D409" s="4" t="s">
        <v>42</v>
      </c>
      <c r="E409" s="4" t="s">
        <v>33</v>
      </c>
      <c r="F409" s="4" t="s">
        <v>33</v>
      </c>
      <c r="G409" s="4" t="s">
        <v>1856</v>
      </c>
      <c r="H409" s="4" t="s">
        <v>1857</v>
      </c>
      <c r="I409" s="4" t="s">
        <v>1858</v>
      </c>
      <c r="J409" s="4" t="s">
        <v>1866</v>
      </c>
      <c r="K409" s="4" t="s">
        <v>1867</v>
      </c>
      <c r="L409" s="6" t="s">
        <v>88</v>
      </c>
    </row>
    <row r="410" spans="1:12" ht="72" customHeight="1">
      <c r="A410" s="4" t="s">
        <v>1868</v>
      </c>
      <c r="B410" s="4" t="s">
        <v>1869</v>
      </c>
      <c r="C410" s="4" t="s">
        <v>1870</v>
      </c>
      <c r="D410" s="4" t="s">
        <v>42</v>
      </c>
      <c r="E410" s="4" t="s">
        <v>33</v>
      </c>
      <c r="F410" s="4" t="s">
        <v>33</v>
      </c>
      <c r="G410" s="4" t="s">
        <v>1871</v>
      </c>
      <c r="H410" s="4" t="s">
        <v>1872</v>
      </c>
      <c r="I410" s="4" t="s">
        <v>1873</v>
      </c>
      <c r="J410" s="4" t="s">
        <v>1874</v>
      </c>
      <c r="K410" s="4" t="s">
        <v>1875</v>
      </c>
      <c r="L410" s="6" t="s">
        <v>159</v>
      </c>
    </row>
    <row r="411" spans="1:12" ht="72" customHeight="1">
      <c r="A411" s="4" t="s">
        <v>1876</v>
      </c>
      <c r="B411" s="4" t="s">
        <v>1869</v>
      </c>
      <c r="C411" s="4" t="s">
        <v>1877</v>
      </c>
      <c r="D411" s="4" t="s">
        <v>42</v>
      </c>
      <c r="E411" s="4" t="s">
        <v>33</v>
      </c>
      <c r="F411" s="4" t="s">
        <v>33</v>
      </c>
      <c r="G411" s="4" t="s">
        <v>1871</v>
      </c>
      <c r="H411" s="4" t="s">
        <v>1872</v>
      </c>
      <c r="I411" s="4" t="s">
        <v>1873</v>
      </c>
      <c r="J411" s="4" t="s">
        <v>1878</v>
      </c>
      <c r="K411" s="4" t="s">
        <v>1879</v>
      </c>
      <c r="L411" s="6" t="s">
        <v>1880</v>
      </c>
    </row>
    <row r="412" spans="1:12" ht="72" customHeight="1">
      <c r="A412" s="4" t="s">
        <v>1881</v>
      </c>
      <c r="B412" s="4" t="s">
        <v>1869</v>
      </c>
      <c r="C412" s="4" t="s">
        <v>1882</v>
      </c>
      <c r="D412" s="4" t="s">
        <v>42</v>
      </c>
      <c r="E412" s="4" t="s">
        <v>33</v>
      </c>
      <c r="F412" s="4" t="s">
        <v>33</v>
      </c>
      <c r="G412" s="4" t="s">
        <v>1871</v>
      </c>
      <c r="H412" s="4" t="s">
        <v>1872</v>
      </c>
      <c r="I412" s="4" t="s">
        <v>1873</v>
      </c>
      <c r="J412" s="4" t="s">
        <v>1883</v>
      </c>
      <c r="K412" s="4" t="s">
        <v>1875</v>
      </c>
      <c r="L412" s="6" t="s">
        <v>518</v>
      </c>
    </row>
    <row r="413" spans="1:12" ht="72" customHeight="1">
      <c r="A413" s="4" t="s">
        <v>1884</v>
      </c>
      <c r="B413" s="4" t="s">
        <v>1869</v>
      </c>
      <c r="C413" s="4" t="s">
        <v>1885</v>
      </c>
      <c r="D413" s="4" t="s">
        <v>42</v>
      </c>
      <c r="E413" s="4" t="s">
        <v>33</v>
      </c>
      <c r="F413" s="4" t="s">
        <v>33</v>
      </c>
      <c r="G413" s="4" t="s">
        <v>1871</v>
      </c>
      <c r="H413" s="4" t="s">
        <v>1872</v>
      </c>
      <c r="I413" s="4" t="s">
        <v>1873</v>
      </c>
      <c r="J413" s="4" t="s">
        <v>1886</v>
      </c>
      <c r="K413" s="4" t="s">
        <v>1887</v>
      </c>
      <c r="L413" s="6" t="s">
        <v>103</v>
      </c>
    </row>
    <row r="414" spans="1:12" ht="72" customHeight="1">
      <c r="A414" s="4" t="s">
        <v>1888</v>
      </c>
      <c r="B414" s="4" t="s">
        <v>1869</v>
      </c>
      <c r="C414" s="4" t="s">
        <v>1889</v>
      </c>
      <c r="D414" s="4" t="s">
        <v>42</v>
      </c>
      <c r="E414" s="4" t="s">
        <v>33</v>
      </c>
      <c r="F414" s="4" t="s">
        <v>33</v>
      </c>
      <c r="G414" s="4" t="s">
        <v>1871</v>
      </c>
      <c r="H414" s="4" t="s">
        <v>1872</v>
      </c>
      <c r="I414" s="4" t="s">
        <v>1873</v>
      </c>
      <c r="J414" s="4" t="s">
        <v>1890</v>
      </c>
      <c r="K414" s="4" t="s">
        <v>1875</v>
      </c>
      <c r="L414" s="6" t="s">
        <v>88</v>
      </c>
    </row>
    <row r="415" spans="1:12" ht="72" customHeight="1">
      <c r="A415" s="4" t="s">
        <v>1891</v>
      </c>
      <c r="B415" s="4" t="s">
        <v>1869</v>
      </c>
      <c r="C415" s="4" t="s">
        <v>1892</v>
      </c>
      <c r="D415" s="4" t="s">
        <v>42</v>
      </c>
      <c r="E415" s="4" t="s">
        <v>33</v>
      </c>
      <c r="F415" s="4" t="s">
        <v>33</v>
      </c>
      <c r="G415" s="4" t="s">
        <v>1871</v>
      </c>
      <c r="H415" s="4" t="s">
        <v>1872</v>
      </c>
      <c r="I415" s="4" t="s">
        <v>1873</v>
      </c>
      <c r="J415" s="4" t="s">
        <v>1893</v>
      </c>
      <c r="K415" s="4" t="s">
        <v>1875</v>
      </c>
      <c r="L415" s="6" t="s">
        <v>307</v>
      </c>
    </row>
    <row r="416" spans="1:12" ht="72" customHeight="1">
      <c r="A416" s="4" t="s">
        <v>1894</v>
      </c>
      <c r="B416" s="4" t="s">
        <v>1895</v>
      </c>
      <c r="C416" s="4" t="s">
        <v>1896</v>
      </c>
      <c r="D416" s="4" t="s">
        <v>42</v>
      </c>
      <c r="E416" s="4" t="s">
        <v>33</v>
      </c>
      <c r="F416" s="4" t="s">
        <v>33</v>
      </c>
      <c r="G416" s="4" t="s">
        <v>1897</v>
      </c>
      <c r="H416" s="4" t="s">
        <v>1898</v>
      </c>
      <c r="I416" s="4" t="s">
        <v>1899</v>
      </c>
      <c r="J416" s="4" t="s">
        <v>1900</v>
      </c>
      <c r="K416" s="4" t="s">
        <v>1901</v>
      </c>
      <c r="L416" s="6" t="s">
        <v>47</v>
      </c>
    </row>
    <row r="417" spans="1:12" ht="72" customHeight="1">
      <c r="A417" s="4" t="s">
        <v>1902</v>
      </c>
      <c r="B417" s="4" t="s">
        <v>1895</v>
      </c>
      <c r="C417" s="4" t="s">
        <v>1903</v>
      </c>
      <c r="D417" s="4" t="s">
        <v>42</v>
      </c>
      <c r="E417" s="4" t="s">
        <v>33</v>
      </c>
      <c r="F417" s="4" t="s">
        <v>33</v>
      </c>
      <c r="G417" s="4" t="s">
        <v>1897</v>
      </c>
      <c r="H417" s="4" t="s">
        <v>1898</v>
      </c>
      <c r="I417" s="4" t="s">
        <v>1899</v>
      </c>
      <c r="J417" s="4" t="s">
        <v>1904</v>
      </c>
      <c r="K417" s="4" t="s">
        <v>1905</v>
      </c>
      <c r="L417" s="6" t="s">
        <v>159</v>
      </c>
    </row>
    <row r="418" spans="1:12" ht="72" customHeight="1">
      <c r="A418" s="4" t="s">
        <v>1906</v>
      </c>
      <c r="B418" s="4" t="s">
        <v>1895</v>
      </c>
      <c r="C418" s="4" t="s">
        <v>1907</v>
      </c>
      <c r="D418" s="4" t="s">
        <v>42</v>
      </c>
      <c r="E418" s="4" t="s">
        <v>33</v>
      </c>
      <c r="F418" s="4" t="s">
        <v>33</v>
      </c>
      <c r="G418" s="4" t="s">
        <v>1897</v>
      </c>
      <c r="H418" s="4" t="s">
        <v>1898</v>
      </c>
      <c r="I418" s="4" t="s">
        <v>1899</v>
      </c>
      <c r="J418" s="4" t="s">
        <v>1908</v>
      </c>
      <c r="K418" s="4" t="s">
        <v>1905</v>
      </c>
      <c r="L418" s="6" t="s">
        <v>88</v>
      </c>
    </row>
    <row r="419" spans="1:12" ht="72" customHeight="1">
      <c r="A419" s="4" t="s">
        <v>1909</v>
      </c>
      <c r="B419" s="4" t="s">
        <v>1895</v>
      </c>
      <c r="C419" s="4" t="s">
        <v>1910</v>
      </c>
      <c r="D419" s="4" t="s">
        <v>42</v>
      </c>
      <c r="E419" s="4" t="s">
        <v>33</v>
      </c>
      <c r="F419" s="4" t="s">
        <v>33</v>
      </c>
      <c r="G419" s="4" t="s">
        <v>1897</v>
      </c>
      <c r="H419" s="4" t="s">
        <v>1898</v>
      </c>
      <c r="I419" s="4" t="s">
        <v>1899</v>
      </c>
      <c r="J419" s="4" t="s">
        <v>1911</v>
      </c>
      <c r="K419" s="4" t="s">
        <v>1912</v>
      </c>
      <c r="L419" s="6" t="s">
        <v>183</v>
      </c>
    </row>
    <row r="420" spans="1:12" ht="72" customHeight="1">
      <c r="A420" s="4" t="s">
        <v>1913</v>
      </c>
      <c r="B420" s="4" t="s">
        <v>1895</v>
      </c>
      <c r="C420" s="4" t="s">
        <v>1914</v>
      </c>
      <c r="D420" s="4" t="s">
        <v>42</v>
      </c>
      <c r="E420" s="4" t="s">
        <v>33</v>
      </c>
      <c r="F420" s="4" t="s">
        <v>33</v>
      </c>
      <c r="G420" s="4" t="s">
        <v>1897</v>
      </c>
      <c r="H420" s="4" t="s">
        <v>1898</v>
      </c>
      <c r="I420" s="4" t="s">
        <v>1899</v>
      </c>
      <c r="J420" s="4" t="s">
        <v>1915</v>
      </c>
      <c r="K420" s="4" t="s">
        <v>1916</v>
      </c>
      <c r="L420" s="6" t="s">
        <v>165</v>
      </c>
    </row>
    <row r="421" spans="1:12" ht="72" customHeight="1">
      <c r="A421" s="4" t="s">
        <v>1917</v>
      </c>
      <c r="B421" s="4" t="s">
        <v>1918</v>
      </c>
      <c r="C421" s="4" t="s">
        <v>1919</v>
      </c>
      <c r="D421" s="4" t="s">
        <v>42</v>
      </c>
      <c r="E421" s="4" t="s">
        <v>33</v>
      </c>
      <c r="F421" s="4" t="s">
        <v>33</v>
      </c>
      <c r="G421" s="4" t="s">
        <v>1920</v>
      </c>
      <c r="H421" s="4" t="s">
        <v>1921</v>
      </c>
      <c r="I421" s="4" t="s">
        <v>1922</v>
      </c>
      <c r="J421" s="4" t="s">
        <v>1923</v>
      </c>
      <c r="K421" s="4" t="s">
        <v>1924</v>
      </c>
      <c r="L421" s="6" t="s">
        <v>147</v>
      </c>
    </row>
    <row r="422" spans="1:12" ht="72" customHeight="1">
      <c r="A422" s="4" t="s">
        <v>1925</v>
      </c>
      <c r="B422" s="4" t="s">
        <v>1918</v>
      </c>
      <c r="C422" s="4" t="s">
        <v>1926</v>
      </c>
      <c r="D422" s="4" t="s">
        <v>42</v>
      </c>
      <c r="E422" s="4" t="s">
        <v>33</v>
      </c>
      <c r="F422" s="4" t="s">
        <v>33</v>
      </c>
      <c r="G422" s="4" t="s">
        <v>1920</v>
      </c>
      <c r="H422" s="4" t="s">
        <v>1921</v>
      </c>
      <c r="I422" s="4" t="s">
        <v>1922</v>
      </c>
      <c r="J422" s="4" t="s">
        <v>1927</v>
      </c>
      <c r="K422" s="4" t="s">
        <v>1928</v>
      </c>
      <c r="L422" s="6" t="s">
        <v>88</v>
      </c>
    </row>
    <row r="423" spans="1:12" ht="72" customHeight="1">
      <c r="A423" s="4" t="s">
        <v>1929</v>
      </c>
      <c r="B423" s="4" t="s">
        <v>1918</v>
      </c>
      <c r="C423" s="4" t="s">
        <v>1930</v>
      </c>
      <c r="D423" s="4" t="s">
        <v>42</v>
      </c>
      <c r="E423" s="4" t="s">
        <v>33</v>
      </c>
      <c r="F423" s="4" t="s">
        <v>33</v>
      </c>
      <c r="G423" s="4" t="s">
        <v>1920</v>
      </c>
      <c r="H423" s="4" t="s">
        <v>1921</v>
      </c>
      <c r="I423" s="4" t="s">
        <v>1922</v>
      </c>
      <c r="J423" s="4" t="s">
        <v>1931</v>
      </c>
      <c r="K423" s="4" t="s">
        <v>1932</v>
      </c>
      <c r="L423" s="6" t="s">
        <v>103</v>
      </c>
    </row>
    <row r="424" spans="1:12" ht="72" customHeight="1">
      <c r="A424" s="4" t="s">
        <v>1933</v>
      </c>
      <c r="B424" s="4" t="s">
        <v>1918</v>
      </c>
      <c r="C424" s="4" t="s">
        <v>1934</v>
      </c>
      <c r="D424" s="4" t="s">
        <v>42</v>
      </c>
      <c r="E424" s="4" t="s">
        <v>33</v>
      </c>
      <c r="F424" s="4" t="s">
        <v>33</v>
      </c>
      <c r="G424" s="4" t="s">
        <v>1920</v>
      </c>
      <c r="H424" s="4" t="s">
        <v>1921</v>
      </c>
      <c r="I424" s="4" t="s">
        <v>1922</v>
      </c>
      <c r="J424" s="4" t="s">
        <v>1935</v>
      </c>
      <c r="K424" s="4" t="s">
        <v>1936</v>
      </c>
      <c r="L424" s="6" t="s">
        <v>116</v>
      </c>
    </row>
    <row r="425" spans="1:12" ht="72" customHeight="1">
      <c r="A425" s="4" t="s">
        <v>1937</v>
      </c>
      <c r="B425" s="4" t="s">
        <v>1938</v>
      </c>
      <c r="C425" s="4" t="s">
        <v>1939</v>
      </c>
      <c r="D425" s="4" t="s">
        <v>42</v>
      </c>
      <c r="E425" s="4" t="s">
        <v>33</v>
      </c>
      <c r="F425" s="4" t="s">
        <v>33</v>
      </c>
      <c r="G425" s="4" t="s">
        <v>1940</v>
      </c>
      <c r="H425" s="4" t="s">
        <v>1941</v>
      </c>
      <c r="I425" s="4" t="s">
        <v>1942</v>
      </c>
      <c r="J425" s="4" t="s">
        <v>1943</v>
      </c>
      <c r="K425" s="4" t="s">
        <v>1944</v>
      </c>
      <c r="L425" s="6" t="s">
        <v>147</v>
      </c>
    </row>
    <row r="426" spans="1:12" ht="72" customHeight="1">
      <c r="A426" s="4" t="s">
        <v>1945</v>
      </c>
      <c r="B426" s="4" t="s">
        <v>1938</v>
      </c>
      <c r="C426" s="4" t="s">
        <v>1946</v>
      </c>
      <c r="D426" s="4" t="s">
        <v>42</v>
      </c>
      <c r="E426" s="4" t="s">
        <v>33</v>
      </c>
      <c r="F426" s="4" t="s">
        <v>33</v>
      </c>
      <c r="G426" s="4" t="s">
        <v>1940</v>
      </c>
      <c r="H426" s="4" t="s">
        <v>1941</v>
      </c>
      <c r="I426" s="4" t="s">
        <v>1942</v>
      </c>
      <c r="J426" s="4" t="s">
        <v>1947</v>
      </c>
      <c r="K426" s="4" t="s">
        <v>1948</v>
      </c>
      <c r="L426" s="6" t="s">
        <v>88</v>
      </c>
    </row>
    <row r="427" spans="1:12" ht="72" customHeight="1">
      <c r="A427" s="4" t="s">
        <v>1949</v>
      </c>
      <c r="B427" s="4" t="s">
        <v>1938</v>
      </c>
      <c r="C427" s="4" t="s">
        <v>1950</v>
      </c>
      <c r="D427" s="4" t="s">
        <v>42</v>
      </c>
      <c r="E427" s="4" t="s">
        <v>33</v>
      </c>
      <c r="F427" s="4" t="s">
        <v>33</v>
      </c>
      <c r="G427" s="4" t="s">
        <v>1940</v>
      </c>
      <c r="H427" s="4" t="s">
        <v>1941</v>
      </c>
      <c r="I427" s="4" t="s">
        <v>1942</v>
      </c>
      <c r="J427" s="4" t="s">
        <v>1951</v>
      </c>
      <c r="K427" s="4" t="s">
        <v>1948</v>
      </c>
      <c r="L427" s="6" t="s">
        <v>88</v>
      </c>
    </row>
    <row r="428" spans="1:12" ht="72" customHeight="1">
      <c r="A428" s="4" t="s">
        <v>1952</v>
      </c>
      <c r="B428" s="4" t="s">
        <v>1938</v>
      </c>
      <c r="C428" s="4" t="s">
        <v>1953</v>
      </c>
      <c r="D428" s="4" t="s">
        <v>42</v>
      </c>
      <c r="E428" s="4" t="s">
        <v>33</v>
      </c>
      <c r="F428" s="4" t="s">
        <v>33</v>
      </c>
      <c r="G428" s="4" t="s">
        <v>1940</v>
      </c>
      <c r="H428" s="4" t="s">
        <v>1941</v>
      </c>
      <c r="I428" s="4" t="s">
        <v>1942</v>
      </c>
      <c r="J428" s="4" t="s">
        <v>1954</v>
      </c>
      <c r="K428" s="4" t="s">
        <v>1955</v>
      </c>
      <c r="L428" s="6" t="s">
        <v>103</v>
      </c>
    </row>
    <row r="429" spans="1:12" ht="72" customHeight="1">
      <c r="A429" s="4" t="s">
        <v>1956</v>
      </c>
      <c r="B429" s="4" t="s">
        <v>1938</v>
      </c>
      <c r="C429" s="4" t="s">
        <v>1957</v>
      </c>
      <c r="D429" s="4" t="s">
        <v>42</v>
      </c>
      <c r="E429" s="4" t="s">
        <v>33</v>
      </c>
      <c r="F429" s="4" t="s">
        <v>33</v>
      </c>
      <c r="G429" s="4" t="s">
        <v>1940</v>
      </c>
      <c r="H429" s="4" t="s">
        <v>1941</v>
      </c>
      <c r="I429" s="4" t="s">
        <v>1942</v>
      </c>
      <c r="J429" s="4" t="s">
        <v>1958</v>
      </c>
      <c r="K429" s="4" t="s">
        <v>1959</v>
      </c>
      <c r="L429" s="6" t="s">
        <v>183</v>
      </c>
    </row>
    <row r="430" spans="1:12" ht="72" customHeight="1">
      <c r="A430" s="4" t="s">
        <v>1960</v>
      </c>
      <c r="B430" s="4" t="s">
        <v>1961</v>
      </c>
      <c r="C430" s="4" t="s">
        <v>1962</v>
      </c>
      <c r="D430" s="4" t="s">
        <v>42</v>
      </c>
      <c r="E430" s="4" t="s">
        <v>33</v>
      </c>
      <c r="F430" s="4" t="s">
        <v>33</v>
      </c>
      <c r="G430" s="4" t="s">
        <v>1963</v>
      </c>
      <c r="H430" s="4" t="s">
        <v>1964</v>
      </c>
      <c r="I430" s="4" t="s">
        <v>1965</v>
      </c>
      <c r="J430" s="4" t="s">
        <v>1966</v>
      </c>
      <c r="K430" s="4" t="s">
        <v>1967</v>
      </c>
      <c r="L430" s="6" t="s">
        <v>159</v>
      </c>
    </row>
    <row r="431" spans="1:12" ht="72" customHeight="1">
      <c r="A431" s="4" t="s">
        <v>1968</v>
      </c>
      <c r="B431" s="4" t="s">
        <v>1961</v>
      </c>
      <c r="C431" s="4" t="s">
        <v>1969</v>
      </c>
      <c r="D431" s="4" t="s">
        <v>42</v>
      </c>
      <c r="E431" s="4" t="s">
        <v>33</v>
      </c>
      <c r="F431" s="4" t="s">
        <v>33</v>
      </c>
      <c r="G431" s="4" t="s">
        <v>1963</v>
      </c>
      <c r="H431" s="4" t="s">
        <v>1964</v>
      </c>
      <c r="I431" s="4" t="s">
        <v>1965</v>
      </c>
      <c r="J431" s="4" t="s">
        <v>1970</v>
      </c>
      <c r="K431" s="4" t="s">
        <v>1971</v>
      </c>
      <c r="L431" s="6" t="s">
        <v>103</v>
      </c>
    </row>
    <row r="432" spans="1:12" ht="72" customHeight="1">
      <c r="A432" s="4" t="s">
        <v>1972</v>
      </c>
      <c r="B432" s="4" t="s">
        <v>1961</v>
      </c>
      <c r="C432" s="4" t="s">
        <v>1973</v>
      </c>
      <c r="D432" s="4" t="s">
        <v>42</v>
      </c>
      <c r="E432" s="4" t="s">
        <v>33</v>
      </c>
      <c r="F432" s="4" t="s">
        <v>33</v>
      </c>
      <c r="G432" s="4" t="s">
        <v>1963</v>
      </c>
      <c r="H432" s="4" t="s">
        <v>1964</v>
      </c>
      <c r="I432" s="4" t="s">
        <v>1965</v>
      </c>
      <c r="J432" s="4" t="s">
        <v>1974</v>
      </c>
      <c r="K432" s="4" t="s">
        <v>1975</v>
      </c>
      <c r="L432" s="6" t="s">
        <v>88</v>
      </c>
    </row>
    <row r="433" spans="1:12" ht="72" customHeight="1">
      <c r="A433" s="4" t="s">
        <v>1976</v>
      </c>
      <c r="B433" s="4" t="s">
        <v>1961</v>
      </c>
      <c r="C433" s="4" t="s">
        <v>1977</v>
      </c>
      <c r="D433" s="4" t="s">
        <v>42</v>
      </c>
      <c r="E433" s="4" t="s">
        <v>33</v>
      </c>
      <c r="F433" s="4" t="s">
        <v>33</v>
      </c>
      <c r="G433" s="4" t="s">
        <v>1963</v>
      </c>
      <c r="H433" s="4" t="s">
        <v>1964</v>
      </c>
      <c r="I433" s="4" t="s">
        <v>1965</v>
      </c>
      <c r="J433" s="4" t="s">
        <v>1978</v>
      </c>
      <c r="K433" s="4" t="s">
        <v>1979</v>
      </c>
      <c r="L433" s="6" t="s">
        <v>183</v>
      </c>
    </row>
    <row r="434" spans="1:12" ht="72" customHeight="1">
      <c r="A434" s="4" t="s">
        <v>1980</v>
      </c>
      <c r="B434" s="4" t="s">
        <v>1981</v>
      </c>
      <c r="C434" s="4" t="s">
        <v>1982</v>
      </c>
      <c r="D434" s="4" t="s">
        <v>42</v>
      </c>
      <c r="E434" s="4" t="s">
        <v>33</v>
      </c>
      <c r="F434" s="4" t="s">
        <v>33</v>
      </c>
      <c r="G434" s="4" t="s">
        <v>1983</v>
      </c>
      <c r="H434" s="4" t="s">
        <v>1984</v>
      </c>
      <c r="I434" s="4" t="s">
        <v>1985</v>
      </c>
      <c r="J434" s="4" t="s">
        <v>1986</v>
      </c>
      <c r="K434" s="4" t="s">
        <v>1987</v>
      </c>
      <c r="L434" s="6" t="s">
        <v>159</v>
      </c>
    </row>
    <row r="435" spans="1:12" ht="72" customHeight="1">
      <c r="A435" s="4" t="s">
        <v>1988</v>
      </c>
      <c r="B435" s="4" t="s">
        <v>1981</v>
      </c>
      <c r="C435" s="4" t="s">
        <v>1989</v>
      </c>
      <c r="D435" s="4" t="s">
        <v>42</v>
      </c>
      <c r="E435" s="4" t="s">
        <v>33</v>
      </c>
      <c r="F435" s="4" t="s">
        <v>33</v>
      </c>
      <c r="G435" s="4" t="s">
        <v>1983</v>
      </c>
      <c r="H435" s="4" t="s">
        <v>1984</v>
      </c>
      <c r="I435" s="4" t="s">
        <v>1985</v>
      </c>
      <c r="J435" s="4" t="s">
        <v>1990</v>
      </c>
      <c r="K435" s="4" t="s">
        <v>1991</v>
      </c>
      <c r="L435" s="6" t="s">
        <v>518</v>
      </c>
    </row>
    <row r="436" spans="1:12" ht="72" customHeight="1">
      <c r="A436" s="4" t="s">
        <v>1992</v>
      </c>
      <c r="B436" s="4" t="s">
        <v>1981</v>
      </c>
      <c r="C436" s="4" t="s">
        <v>1993</v>
      </c>
      <c r="D436" s="4" t="s">
        <v>42</v>
      </c>
      <c r="E436" s="4" t="s">
        <v>33</v>
      </c>
      <c r="F436" s="4" t="s">
        <v>33</v>
      </c>
      <c r="G436" s="4" t="s">
        <v>1983</v>
      </c>
      <c r="H436" s="4" t="s">
        <v>1984</v>
      </c>
      <c r="I436" s="4" t="s">
        <v>1985</v>
      </c>
      <c r="J436" s="4" t="s">
        <v>1994</v>
      </c>
      <c r="K436" s="4" t="s">
        <v>1995</v>
      </c>
      <c r="L436" s="6" t="s">
        <v>88</v>
      </c>
    </row>
    <row r="437" spans="1:12" ht="72" customHeight="1">
      <c r="A437" s="4" t="s">
        <v>1996</v>
      </c>
      <c r="B437" s="4" t="s">
        <v>1981</v>
      </c>
      <c r="C437" s="4" t="s">
        <v>1997</v>
      </c>
      <c r="D437" s="4" t="s">
        <v>42</v>
      </c>
      <c r="E437" s="4" t="s">
        <v>33</v>
      </c>
      <c r="F437" s="4" t="s">
        <v>33</v>
      </c>
      <c r="G437" s="4" t="s">
        <v>1983</v>
      </c>
      <c r="H437" s="4" t="s">
        <v>1984</v>
      </c>
      <c r="I437" s="4" t="s">
        <v>1985</v>
      </c>
      <c r="J437" s="4" t="s">
        <v>1998</v>
      </c>
      <c r="K437" s="4" t="s">
        <v>1991</v>
      </c>
      <c r="L437" s="6" t="s">
        <v>103</v>
      </c>
    </row>
    <row r="438" spans="1:12" ht="72" customHeight="1">
      <c r="A438" s="4" t="s">
        <v>1999</v>
      </c>
      <c r="B438" s="4" t="s">
        <v>2000</v>
      </c>
      <c r="C438" s="4" t="s">
        <v>2001</v>
      </c>
      <c r="D438" s="4" t="s">
        <v>42</v>
      </c>
      <c r="E438" s="4" t="s">
        <v>33</v>
      </c>
      <c r="F438" s="4" t="s">
        <v>33</v>
      </c>
      <c r="G438" s="4" t="s">
        <v>2002</v>
      </c>
      <c r="H438" s="4" t="s">
        <v>2003</v>
      </c>
      <c r="I438" s="4" t="s">
        <v>2004</v>
      </c>
      <c r="J438" s="4" t="s">
        <v>2005</v>
      </c>
      <c r="K438" s="4" t="s">
        <v>2006</v>
      </c>
      <c r="L438" s="6" t="s">
        <v>159</v>
      </c>
    </row>
    <row r="439" spans="1:12" ht="72" customHeight="1">
      <c r="A439" s="4" t="s">
        <v>2007</v>
      </c>
      <c r="B439" s="4" t="s">
        <v>2000</v>
      </c>
      <c r="C439" s="4" t="s">
        <v>2008</v>
      </c>
      <c r="D439" s="4" t="s">
        <v>42</v>
      </c>
      <c r="E439" s="4" t="s">
        <v>33</v>
      </c>
      <c r="F439" s="4" t="s">
        <v>33</v>
      </c>
      <c r="G439" s="4" t="s">
        <v>2002</v>
      </c>
      <c r="H439" s="4" t="s">
        <v>2003</v>
      </c>
      <c r="I439" s="4" t="s">
        <v>2004</v>
      </c>
      <c r="J439" s="4" t="s">
        <v>2009</v>
      </c>
      <c r="K439" s="4" t="s">
        <v>2006</v>
      </c>
      <c r="L439" s="6" t="s">
        <v>88</v>
      </c>
    </row>
    <row r="440" spans="1:12" ht="72" customHeight="1">
      <c r="A440" s="4" t="s">
        <v>2010</v>
      </c>
      <c r="B440" s="4" t="s">
        <v>2000</v>
      </c>
      <c r="C440" s="4" t="s">
        <v>2011</v>
      </c>
      <c r="D440" s="4" t="s">
        <v>42</v>
      </c>
      <c r="E440" s="4" t="s">
        <v>33</v>
      </c>
      <c r="F440" s="4" t="s">
        <v>33</v>
      </c>
      <c r="G440" s="4" t="s">
        <v>2002</v>
      </c>
      <c r="H440" s="4" t="s">
        <v>2003</v>
      </c>
      <c r="I440" s="4" t="s">
        <v>2004</v>
      </c>
      <c r="J440" s="4" t="s">
        <v>2012</v>
      </c>
      <c r="K440" s="4" t="s">
        <v>2013</v>
      </c>
      <c r="L440" s="6" t="s">
        <v>103</v>
      </c>
    </row>
    <row r="441" spans="1:12" ht="72" customHeight="1">
      <c r="A441" s="4" t="s">
        <v>2014</v>
      </c>
      <c r="B441" s="4" t="s">
        <v>2000</v>
      </c>
      <c r="C441" s="4" t="s">
        <v>2015</v>
      </c>
      <c r="D441" s="4" t="s">
        <v>42</v>
      </c>
      <c r="E441" s="4" t="s">
        <v>33</v>
      </c>
      <c r="F441" s="4" t="s">
        <v>33</v>
      </c>
      <c r="G441" s="4" t="s">
        <v>2002</v>
      </c>
      <c r="H441" s="4" t="s">
        <v>2003</v>
      </c>
      <c r="I441" s="4" t="s">
        <v>2004</v>
      </c>
      <c r="J441" s="4" t="s">
        <v>2016</v>
      </c>
      <c r="K441" s="4" t="s">
        <v>2017</v>
      </c>
      <c r="L441" s="6" t="s">
        <v>183</v>
      </c>
    </row>
    <row r="442" spans="1:12" ht="72" customHeight="1">
      <c r="A442" s="4" t="s">
        <v>2018</v>
      </c>
      <c r="B442" s="4" t="s">
        <v>2019</v>
      </c>
      <c r="C442" s="4" t="s">
        <v>2020</v>
      </c>
      <c r="D442" s="4" t="s">
        <v>42</v>
      </c>
      <c r="E442" s="4" t="s">
        <v>33</v>
      </c>
      <c r="F442" s="4" t="s">
        <v>33</v>
      </c>
      <c r="G442" s="4" t="s">
        <v>2021</v>
      </c>
      <c r="H442" s="4" t="s">
        <v>2022</v>
      </c>
      <c r="I442" s="4" t="s">
        <v>2023</v>
      </c>
      <c r="J442" s="4" t="s">
        <v>2024</v>
      </c>
      <c r="K442" s="4" t="s">
        <v>2025</v>
      </c>
      <c r="L442" s="6" t="s">
        <v>159</v>
      </c>
    </row>
    <row r="443" spans="1:12" ht="72" customHeight="1">
      <c r="A443" s="4" t="s">
        <v>2026</v>
      </c>
      <c r="B443" s="4" t="s">
        <v>2019</v>
      </c>
      <c r="C443" s="4" t="s">
        <v>2027</v>
      </c>
      <c r="D443" s="4" t="s">
        <v>42</v>
      </c>
      <c r="E443" s="4" t="s">
        <v>33</v>
      </c>
      <c r="F443" s="4" t="s">
        <v>33</v>
      </c>
      <c r="G443" s="4" t="s">
        <v>2021</v>
      </c>
      <c r="H443" s="4" t="s">
        <v>2022</v>
      </c>
      <c r="I443" s="4" t="s">
        <v>2023</v>
      </c>
      <c r="J443" s="4" t="s">
        <v>2028</v>
      </c>
      <c r="K443" s="4" t="s">
        <v>2029</v>
      </c>
      <c r="L443" s="6" t="s">
        <v>518</v>
      </c>
    </row>
    <row r="444" spans="1:12" ht="72" customHeight="1">
      <c r="A444" s="4" t="s">
        <v>2030</v>
      </c>
      <c r="B444" s="4" t="s">
        <v>2019</v>
      </c>
      <c r="C444" s="4" t="s">
        <v>2031</v>
      </c>
      <c r="D444" s="4" t="s">
        <v>42</v>
      </c>
      <c r="E444" s="4" t="s">
        <v>33</v>
      </c>
      <c r="F444" s="4" t="s">
        <v>33</v>
      </c>
      <c r="G444" s="4" t="s">
        <v>2021</v>
      </c>
      <c r="H444" s="4" t="s">
        <v>2022</v>
      </c>
      <c r="I444" s="4" t="s">
        <v>2023</v>
      </c>
      <c r="J444" s="4" t="s">
        <v>2032</v>
      </c>
      <c r="K444" s="4" t="s">
        <v>2033</v>
      </c>
      <c r="L444" s="6" t="s">
        <v>518</v>
      </c>
    </row>
    <row r="445" spans="1:12" ht="72" customHeight="1">
      <c r="A445" s="4" t="s">
        <v>2034</v>
      </c>
      <c r="B445" s="4" t="s">
        <v>2019</v>
      </c>
      <c r="C445" s="4" t="s">
        <v>2035</v>
      </c>
      <c r="D445" s="4" t="s">
        <v>42</v>
      </c>
      <c r="E445" s="4" t="s">
        <v>33</v>
      </c>
      <c r="F445" s="4" t="s">
        <v>33</v>
      </c>
      <c r="G445" s="4" t="s">
        <v>2021</v>
      </c>
      <c r="H445" s="4" t="s">
        <v>2022</v>
      </c>
      <c r="I445" s="4" t="s">
        <v>2023</v>
      </c>
      <c r="J445" s="4" t="s">
        <v>2036</v>
      </c>
      <c r="K445" s="4" t="s">
        <v>2037</v>
      </c>
      <c r="L445" s="6" t="s">
        <v>165</v>
      </c>
    </row>
    <row r="446" spans="1:12" ht="72" customHeight="1">
      <c r="A446" s="4" t="s">
        <v>2038</v>
      </c>
      <c r="B446" s="4" t="s">
        <v>2019</v>
      </c>
      <c r="C446" s="4" t="s">
        <v>2039</v>
      </c>
      <c r="D446" s="4" t="s">
        <v>42</v>
      </c>
      <c r="E446" s="4" t="s">
        <v>33</v>
      </c>
      <c r="F446" s="4" t="s">
        <v>33</v>
      </c>
      <c r="G446" s="4" t="s">
        <v>2021</v>
      </c>
      <c r="H446" s="4" t="s">
        <v>2022</v>
      </c>
      <c r="I446" s="4" t="s">
        <v>2023</v>
      </c>
      <c r="J446" s="4" t="s">
        <v>2040</v>
      </c>
      <c r="K446" s="4" t="s">
        <v>2025</v>
      </c>
      <c r="L446" s="6" t="s">
        <v>88</v>
      </c>
    </row>
    <row r="447" spans="1:12" ht="72" customHeight="1">
      <c r="A447" s="4" t="s">
        <v>2041</v>
      </c>
      <c r="B447" s="4" t="s">
        <v>2042</v>
      </c>
      <c r="C447" s="4" t="s">
        <v>2043</v>
      </c>
      <c r="D447" s="4" t="s">
        <v>42</v>
      </c>
      <c r="E447" s="4" t="s">
        <v>33</v>
      </c>
      <c r="F447" s="4" t="s">
        <v>33</v>
      </c>
      <c r="G447" s="4" t="s">
        <v>2044</v>
      </c>
      <c r="H447" s="4" t="s">
        <v>2045</v>
      </c>
      <c r="I447" s="4" t="s">
        <v>2046</v>
      </c>
      <c r="J447" s="4" t="s">
        <v>2047</v>
      </c>
      <c r="K447" s="4" t="s">
        <v>2048</v>
      </c>
      <c r="L447" s="6" t="s">
        <v>47</v>
      </c>
    </row>
    <row r="448" spans="1:12" ht="72" customHeight="1">
      <c r="A448" s="4" t="s">
        <v>2049</v>
      </c>
      <c r="B448" s="4" t="s">
        <v>2042</v>
      </c>
      <c r="C448" s="4" t="s">
        <v>2050</v>
      </c>
      <c r="D448" s="4" t="s">
        <v>42</v>
      </c>
      <c r="E448" s="4" t="s">
        <v>33</v>
      </c>
      <c r="F448" s="4" t="s">
        <v>33</v>
      </c>
      <c r="G448" s="4" t="s">
        <v>2044</v>
      </c>
      <c r="H448" s="4" t="s">
        <v>2045</v>
      </c>
      <c r="I448" s="4" t="s">
        <v>2046</v>
      </c>
      <c r="J448" s="4" t="s">
        <v>2051</v>
      </c>
      <c r="K448" s="4" t="s">
        <v>2052</v>
      </c>
      <c r="L448" s="6" t="s">
        <v>39</v>
      </c>
    </row>
    <row r="449" spans="1:12" ht="72" customHeight="1">
      <c r="A449" s="4" t="s">
        <v>2053</v>
      </c>
      <c r="B449" s="4" t="s">
        <v>2042</v>
      </c>
      <c r="C449" s="4" t="s">
        <v>2054</v>
      </c>
      <c r="D449" s="4" t="s">
        <v>42</v>
      </c>
      <c r="E449" s="4" t="s">
        <v>33</v>
      </c>
      <c r="F449" s="4" t="s">
        <v>33</v>
      </c>
      <c r="G449" s="4" t="s">
        <v>2044</v>
      </c>
      <c r="H449" s="4" t="s">
        <v>2045</v>
      </c>
      <c r="I449" s="4" t="s">
        <v>2046</v>
      </c>
      <c r="J449" s="4" t="s">
        <v>2055</v>
      </c>
      <c r="K449" s="4" t="s">
        <v>2056</v>
      </c>
      <c r="L449" s="6" t="s">
        <v>307</v>
      </c>
    </row>
    <row r="450" spans="1:12" ht="72" customHeight="1">
      <c r="A450" s="4" t="s">
        <v>2057</v>
      </c>
      <c r="B450" s="4" t="s">
        <v>2042</v>
      </c>
      <c r="C450" s="4" t="s">
        <v>2058</v>
      </c>
      <c r="D450" s="4" t="s">
        <v>42</v>
      </c>
      <c r="E450" s="4" t="s">
        <v>33</v>
      </c>
      <c r="F450" s="4" t="s">
        <v>33</v>
      </c>
      <c r="G450" s="4" t="s">
        <v>2044</v>
      </c>
      <c r="H450" s="4" t="s">
        <v>2045</v>
      </c>
      <c r="I450" s="4" t="s">
        <v>2046</v>
      </c>
      <c r="J450" s="4" t="s">
        <v>2059</v>
      </c>
      <c r="K450" s="4" t="s">
        <v>2060</v>
      </c>
      <c r="L450" s="6" t="s">
        <v>307</v>
      </c>
    </row>
    <row r="451" spans="1:12" ht="72" customHeight="1">
      <c r="A451" s="4" t="s">
        <v>2061</v>
      </c>
      <c r="B451" s="4" t="s">
        <v>2042</v>
      </c>
      <c r="C451" s="4" t="s">
        <v>2062</v>
      </c>
      <c r="D451" s="4" t="s">
        <v>42</v>
      </c>
      <c r="E451" s="4" t="s">
        <v>33</v>
      </c>
      <c r="F451" s="4" t="s">
        <v>33</v>
      </c>
      <c r="G451" s="4" t="s">
        <v>2044</v>
      </c>
      <c r="H451" s="4" t="s">
        <v>2045</v>
      </c>
      <c r="I451" s="4" t="s">
        <v>2046</v>
      </c>
      <c r="J451" s="4" t="s">
        <v>2063</v>
      </c>
      <c r="K451" s="4" t="s">
        <v>2064</v>
      </c>
      <c r="L451" s="6" t="s">
        <v>95</v>
      </c>
    </row>
    <row r="452" spans="1:12" ht="72" customHeight="1">
      <c r="A452" s="4" t="s">
        <v>2065</v>
      </c>
      <c r="B452" s="4" t="s">
        <v>2042</v>
      </c>
      <c r="C452" s="4" t="s">
        <v>2066</v>
      </c>
      <c r="D452" s="4" t="s">
        <v>42</v>
      </c>
      <c r="E452" s="4" t="s">
        <v>33</v>
      </c>
      <c r="F452" s="4" t="s">
        <v>33</v>
      </c>
      <c r="G452" s="4" t="s">
        <v>2044</v>
      </c>
      <c r="H452" s="4" t="s">
        <v>2045</v>
      </c>
      <c r="I452" s="4" t="s">
        <v>2046</v>
      </c>
      <c r="J452" s="4" t="s">
        <v>2067</v>
      </c>
      <c r="K452" s="4" t="s">
        <v>2060</v>
      </c>
      <c r="L452" s="6" t="s">
        <v>307</v>
      </c>
    </row>
    <row r="453" spans="1:12" ht="72" customHeight="1">
      <c r="A453" s="4" t="s">
        <v>2068</v>
      </c>
      <c r="B453" s="4" t="s">
        <v>2042</v>
      </c>
      <c r="C453" s="4" t="s">
        <v>2069</v>
      </c>
      <c r="D453" s="4" t="s">
        <v>42</v>
      </c>
      <c r="E453" s="4" t="s">
        <v>33</v>
      </c>
      <c r="F453" s="4" t="s">
        <v>33</v>
      </c>
      <c r="G453" s="4" t="s">
        <v>2044</v>
      </c>
      <c r="H453" s="4" t="s">
        <v>2045</v>
      </c>
      <c r="I453" s="4" t="s">
        <v>2046</v>
      </c>
      <c r="J453" s="4" t="s">
        <v>2070</v>
      </c>
      <c r="K453" s="4" t="s">
        <v>2060</v>
      </c>
      <c r="L453" s="6" t="s">
        <v>165</v>
      </c>
    </row>
    <row r="454" spans="1:12" ht="72" customHeight="1">
      <c r="A454" s="4" t="s">
        <v>2071</v>
      </c>
      <c r="B454" s="4" t="s">
        <v>2042</v>
      </c>
      <c r="C454" s="4" t="s">
        <v>2072</v>
      </c>
      <c r="D454" s="4" t="s">
        <v>42</v>
      </c>
      <c r="E454" s="4" t="s">
        <v>33</v>
      </c>
      <c r="F454" s="4" t="s">
        <v>33</v>
      </c>
      <c r="G454" s="4" t="s">
        <v>2044</v>
      </c>
      <c r="H454" s="4" t="s">
        <v>2045</v>
      </c>
      <c r="I454" s="4" t="s">
        <v>2046</v>
      </c>
      <c r="J454" s="4" t="s">
        <v>2073</v>
      </c>
      <c r="K454" s="4" t="s">
        <v>2060</v>
      </c>
      <c r="L454" s="6" t="s">
        <v>165</v>
      </c>
    </row>
    <row r="455" spans="1:12" ht="72" customHeight="1">
      <c r="A455" s="4" t="s">
        <v>2074</v>
      </c>
      <c r="B455" s="4" t="s">
        <v>2042</v>
      </c>
      <c r="C455" s="4" t="s">
        <v>2075</v>
      </c>
      <c r="D455" s="4" t="s">
        <v>42</v>
      </c>
      <c r="E455" s="4" t="s">
        <v>33</v>
      </c>
      <c r="F455" s="4" t="s">
        <v>33</v>
      </c>
      <c r="G455" s="4" t="s">
        <v>2044</v>
      </c>
      <c r="H455" s="4" t="s">
        <v>2045</v>
      </c>
      <c r="I455" s="4" t="s">
        <v>2046</v>
      </c>
      <c r="J455" s="4" t="s">
        <v>2076</v>
      </c>
      <c r="K455" s="4" t="s">
        <v>2077</v>
      </c>
      <c r="L455" s="6" t="s">
        <v>307</v>
      </c>
    </row>
    <row r="456" spans="1:12" ht="72" customHeight="1">
      <c r="A456" s="4" t="s">
        <v>2078</v>
      </c>
      <c r="B456" s="4" t="s">
        <v>2042</v>
      </c>
      <c r="C456" s="4" t="s">
        <v>2079</v>
      </c>
      <c r="D456" s="4" t="s">
        <v>42</v>
      </c>
      <c r="E456" s="4" t="s">
        <v>33</v>
      </c>
      <c r="F456" s="4" t="s">
        <v>33</v>
      </c>
      <c r="G456" s="4" t="s">
        <v>2044</v>
      </c>
      <c r="H456" s="4" t="s">
        <v>2045</v>
      </c>
      <c r="I456" s="4" t="s">
        <v>2046</v>
      </c>
      <c r="J456" s="4" t="s">
        <v>2080</v>
      </c>
      <c r="K456" s="4" t="s">
        <v>2081</v>
      </c>
      <c r="L456" s="6" t="s">
        <v>1880</v>
      </c>
    </row>
    <row r="457" spans="1:12" ht="72" customHeight="1">
      <c r="A457" s="4" t="s">
        <v>2082</v>
      </c>
      <c r="B457" s="4" t="s">
        <v>2042</v>
      </c>
      <c r="C457" s="4" t="s">
        <v>2083</v>
      </c>
      <c r="D457" s="4" t="s">
        <v>42</v>
      </c>
      <c r="E457" s="4" t="s">
        <v>33</v>
      </c>
      <c r="F457" s="4" t="s">
        <v>33</v>
      </c>
      <c r="G457" s="4" t="s">
        <v>2044</v>
      </c>
      <c r="H457" s="4" t="s">
        <v>2045</v>
      </c>
      <c r="I457" s="4" t="s">
        <v>2046</v>
      </c>
      <c r="J457" s="4" t="s">
        <v>2084</v>
      </c>
      <c r="K457" s="4" t="s">
        <v>2085</v>
      </c>
      <c r="L457" s="6" t="s">
        <v>518</v>
      </c>
    </row>
    <row r="458" spans="1:12" ht="72" customHeight="1">
      <c r="A458" s="4" t="s">
        <v>2086</v>
      </c>
      <c r="B458" s="4" t="s">
        <v>2042</v>
      </c>
      <c r="C458" s="4" t="s">
        <v>2087</v>
      </c>
      <c r="D458" s="4" t="s">
        <v>42</v>
      </c>
      <c r="E458" s="4" t="s">
        <v>33</v>
      </c>
      <c r="F458" s="4" t="s">
        <v>33</v>
      </c>
      <c r="G458" s="4" t="s">
        <v>2044</v>
      </c>
      <c r="H458" s="4" t="s">
        <v>2045</v>
      </c>
      <c r="I458" s="4" t="s">
        <v>2046</v>
      </c>
      <c r="J458" s="4" t="s">
        <v>2088</v>
      </c>
      <c r="K458" s="4" t="s">
        <v>2064</v>
      </c>
      <c r="L458" s="6" t="s">
        <v>307</v>
      </c>
    </row>
    <row r="459" spans="1:12" ht="72" customHeight="1">
      <c r="A459" s="4" t="s">
        <v>2089</v>
      </c>
      <c r="B459" s="4" t="s">
        <v>2042</v>
      </c>
      <c r="C459" s="4" t="s">
        <v>2090</v>
      </c>
      <c r="D459" s="4" t="s">
        <v>42</v>
      </c>
      <c r="E459" s="4" t="s">
        <v>33</v>
      </c>
      <c r="F459" s="4" t="s">
        <v>33</v>
      </c>
      <c r="G459" s="4" t="s">
        <v>2044</v>
      </c>
      <c r="H459" s="4" t="s">
        <v>2045</v>
      </c>
      <c r="I459" s="4" t="s">
        <v>2046</v>
      </c>
      <c r="J459" s="4" t="s">
        <v>2091</v>
      </c>
      <c r="K459" s="4" t="s">
        <v>2092</v>
      </c>
      <c r="L459" s="6" t="s">
        <v>165</v>
      </c>
    </row>
    <row r="460" spans="1:12" ht="72" customHeight="1">
      <c r="A460" s="4" t="s">
        <v>2093</v>
      </c>
      <c r="B460" s="4" t="s">
        <v>2094</v>
      </c>
      <c r="C460" s="4" t="s">
        <v>2095</v>
      </c>
      <c r="D460" s="4" t="s">
        <v>42</v>
      </c>
      <c r="E460" s="4" t="s">
        <v>33</v>
      </c>
      <c r="F460" s="4" t="s">
        <v>33</v>
      </c>
      <c r="G460" s="4" t="s">
        <v>2096</v>
      </c>
      <c r="H460" s="4" t="s">
        <v>2097</v>
      </c>
      <c r="I460" s="4" t="s">
        <v>2098</v>
      </c>
      <c r="J460" s="4" t="s">
        <v>2099</v>
      </c>
      <c r="K460" s="4" t="s">
        <v>2100</v>
      </c>
      <c r="L460" s="6" t="s">
        <v>39</v>
      </c>
    </row>
    <row r="461" spans="1:12" ht="72" customHeight="1">
      <c r="A461" s="4" t="s">
        <v>2101</v>
      </c>
      <c r="B461" s="4" t="s">
        <v>2094</v>
      </c>
      <c r="C461" s="4" t="s">
        <v>2102</v>
      </c>
      <c r="D461" s="4" t="s">
        <v>42</v>
      </c>
      <c r="E461" s="4" t="s">
        <v>33</v>
      </c>
      <c r="F461" s="4" t="s">
        <v>33</v>
      </c>
      <c r="G461" s="4" t="s">
        <v>2096</v>
      </c>
      <c r="H461" s="4" t="s">
        <v>2097</v>
      </c>
      <c r="I461" s="4" t="s">
        <v>2098</v>
      </c>
      <c r="J461" s="4" t="s">
        <v>2103</v>
      </c>
      <c r="K461" s="4" t="s">
        <v>2104</v>
      </c>
      <c r="L461" s="6" t="s">
        <v>518</v>
      </c>
    </row>
    <row r="462" spans="1:12" ht="72" customHeight="1">
      <c r="A462" s="4" t="s">
        <v>2105</v>
      </c>
      <c r="B462" s="4" t="s">
        <v>2094</v>
      </c>
      <c r="C462" s="4" t="s">
        <v>2106</v>
      </c>
      <c r="D462" s="4" t="s">
        <v>42</v>
      </c>
      <c r="E462" s="4" t="s">
        <v>33</v>
      </c>
      <c r="F462" s="4" t="s">
        <v>33</v>
      </c>
      <c r="G462" s="4" t="s">
        <v>2096</v>
      </c>
      <c r="H462" s="4" t="s">
        <v>2097</v>
      </c>
      <c r="I462" s="4" t="s">
        <v>2098</v>
      </c>
      <c r="J462" s="4" t="s">
        <v>2107</v>
      </c>
      <c r="K462" s="4" t="s">
        <v>2108</v>
      </c>
      <c r="L462" s="6" t="s">
        <v>116</v>
      </c>
    </row>
    <row r="463" spans="1:12" ht="72" customHeight="1">
      <c r="A463" s="4" t="s">
        <v>2109</v>
      </c>
      <c r="B463" s="4" t="s">
        <v>2094</v>
      </c>
      <c r="C463" s="4" t="s">
        <v>2110</v>
      </c>
      <c r="D463" s="4" t="s">
        <v>42</v>
      </c>
      <c r="E463" s="4" t="s">
        <v>33</v>
      </c>
      <c r="F463" s="4" t="s">
        <v>33</v>
      </c>
      <c r="G463" s="4" t="s">
        <v>2096</v>
      </c>
      <c r="H463" s="4" t="s">
        <v>2097</v>
      </c>
      <c r="I463" s="4" t="s">
        <v>2098</v>
      </c>
      <c r="J463" s="4" t="s">
        <v>2111</v>
      </c>
      <c r="K463" s="4" t="s">
        <v>2112</v>
      </c>
      <c r="L463" s="6" t="s">
        <v>307</v>
      </c>
    </row>
    <row r="464" spans="1:12" ht="72" customHeight="1">
      <c r="A464" s="4" t="s">
        <v>2113</v>
      </c>
      <c r="B464" s="4" t="s">
        <v>2114</v>
      </c>
      <c r="C464" s="4" t="s">
        <v>2115</v>
      </c>
      <c r="D464" s="4" t="s">
        <v>42</v>
      </c>
      <c r="E464" s="4" t="s">
        <v>33</v>
      </c>
      <c r="F464" s="4" t="s">
        <v>33</v>
      </c>
      <c r="G464" s="4" t="s">
        <v>2116</v>
      </c>
      <c r="H464" s="4" t="s">
        <v>2117</v>
      </c>
      <c r="I464" s="4" t="s">
        <v>2118</v>
      </c>
      <c r="J464" s="4" t="s">
        <v>2119</v>
      </c>
      <c r="K464" s="4" t="s">
        <v>2120</v>
      </c>
      <c r="L464" s="6" t="s">
        <v>39</v>
      </c>
    </row>
    <row r="465" spans="1:12" ht="72" customHeight="1">
      <c r="A465" s="4" t="s">
        <v>2121</v>
      </c>
      <c r="B465" s="4" t="s">
        <v>2114</v>
      </c>
      <c r="C465" s="4" t="s">
        <v>2122</v>
      </c>
      <c r="D465" s="4" t="s">
        <v>42</v>
      </c>
      <c r="E465" s="4" t="s">
        <v>33</v>
      </c>
      <c r="F465" s="4" t="s">
        <v>33</v>
      </c>
      <c r="G465" s="4" t="s">
        <v>2116</v>
      </c>
      <c r="H465" s="4" t="s">
        <v>2117</v>
      </c>
      <c r="I465" s="4" t="s">
        <v>2118</v>
      </c>
      <c r="J465" s="4" t="s">
        <v>2123</v>
      </c>
      <c r="K465" s="4" t="s">
        <v>2120</v>
      </c>
      <c r="L465" s="6" t="s">
        <v>311</v>
      </c>
    </row>
    <row r="466" spans="1:12" ht="72" customHeight="1">
      <c r="A466" s="4" t="s">
        <v>2124</v>
      </c>
      <c r="B466" s="4" t="s">
        <v>2114</v>
      </c>
      <c r="C466" s="4" t="s">
        <v>2125</v>
      </c>
      <c r="D466" s="4" t="s">
        <v>42</v>
      </c>
      <c r="E466" s="4" t="s">
        <v>33</v>
      </c>
      <c r="F466" s="4" t="s">
        <v>33</v>
      </c>
      <c r="G466" s="4" t="s">
        <v>2116</v>
      </c>
      <c r="H466" s="4" t="s">
        <v>2117</v>
      </c>
      <c r="I466" s="4" t="s">
        <v>2118</v>
      </c>
      <c r="J466" s="4" t="s">
        <v>2126</v>
      </c>
      <c r="K466" s="4" t="s">
        <v>2120</v>
      </c>
      <c r="L466" s="6" t="s">
        <v>165</v>
      </c>
    </row>
    <row r="467" spans="1:12" ht="72" customHeight="1">
      <c r="A467" s="4" t="s">
        <v>2127</v>
      </c>
      <c r="B467" s="4" t="s">
        <v>2128</v>
      </c>
      <c r="C467" s="4" t="s">
        <v>2129</v>
      </c>
      <c r="D467" s="4" t="s">
        <v>42</v>
      </c>
      <c r="E467" s="4" t="s">
        <v>33</v>
      </c>
      <c r="F467" s="4" t="s">
        <v>33</v>
      </c>
      <c r="G467" s="4" t="s">
        <v>2130</v>
      </c>
      <c r="H467" s="4" t="s">
        <v>2131</v>
      </c>
      <c r="I467" s="4" t="s">
        <v>2132</v>
      </c>
      <c r="J467" s="4" t="s">
        <v>2133</v>
      </c>
      <c r="K467" s="4" t="s">
        <v>2134</v>
      </c>
      <c r="L467" s="6" t="s">
        <v>39</v>
      </c>
    </row>
    <row r="468" spans="1:12" ht="72" customHeight="1">
      <c r="A468" s="4" t="s">
        <v>2135</v>
      </c>
      <c r="B468" s="4" t="s">
        <v>2128</v>
      </c>
      <c r="C468" s="4" t="s">
        <v>2136</v>
      </c>
      <c r="D468" s="4" t="s">
        <v>42</v>
      </c>
      <c r="E468" s="4" t="s">
        <v>33</v>
      </c>
      <c r="F468" s="4" t="s">
        <v>33</v>
      </c>
      <c r="G468" s="4" t="s">
        <v>2130</v>
      </c>
      <c r="H468" s="4" t="s">
        <v>2131</v>
      </c>
      <c r="I468" s="4" t="s">
        <v>2132</v>
      </c>
      <c r="J468" s="4" t="s">
        <v>2137</v>
      </c>
      <c r="K468" s="4" t="s">
        <v>2134</v>
      </c>
      <c r="L468" s="6" t="s">
        <v>307</v>
      </c>
    </row>
    <row r="469" spans="1:12" ht="72" customHeight="1">
      <c r="A469" s="4" t="s">
        <v>2138</v>
      </c>
      <c r="B469" s="4" t="s">
        <v>2128</v>
      </c>
      <c r="C469" s="4" t="s">
        <v>2139</v>
      </c>
      <c r="D469" s="4" t="s">
        <v>42</v>
      </c>
      <c r="E469" s="4" t="s">
        <v>33</v>
      </c>
      <c r="F469" s="4" t="s">
        <v>33</v>
      </c>
      <c r="G469" s="4" t="s">
        <v>2130</v>
      </c>
      <c r="H469" s="4" t="s">
        <v>2131</v>
      </c>
      <c r="I469" s="4" t="s">
        <v>2132</v>
      </c>
      <c r="J469" s="4" t="s">
        <v>2140</v>
      </c>
      <c r="K469" s="4" t="s">
        <v>2141</v>
      </c>
      <c r="L469" s="6" t="s">
        <v>165</v>
      </c>
    </row>
    <row r="470" spans="1:12" ht="72" customHeight="1">
      <c r="A470" s="4" t="s">
        <v>2142</v>
      </c>
      <c r="B470" s="4" t="s">
        <v>2143</v>
      </c>
      <c r="C470" s="4" t="s">
        <v>2144</v>
      </c>
      <c r="D470" s="4" t="s">
        <v>42</v>
      </c>
      <c r="E470" s="4" t="s">
        <v>33</v>
      </c>
      <c r="F470" s="4" t="s">
        <v>33</v>
      </c>
      <c r="G470" s="4" t="s">
        <v>2145</v>
      </c>
      <c r="H470" s="4" t="s">
        <v>2146</v>
      </c>
      <c r="I470" s="4" t="s">
        <v>2147</v>
      </c>
      <c r="J470" s="4" t="s">
        <v>2148</v>
      </c>
      <c r="K470" s="4" t="s">
        <v>2149</v>
      </c>
      <c r="L470" s="6" t="s">
        <v>116</v>
      </c>
    </row>
    <row r="471" spans="1:12" ht="72" customHeight="1">
      <c r="A471" s="4" t="s">
        <v>2150</v>
      </c>
      <c r="B471" s="4" t="s">
        <v>2143</v>
      </c>
      <c r="C471" s="4" t="s">
        <v>2151</v>
      </c>
      <c r="D471" s="4" t="s">
        <v>42</v>
      </c>
      <c r="E471" s="4" t="s">
        <v>33</v>
      </c>
      <c r="F471" s="4" t="s">
        <v>33</v>
      </c>
      <c r="G471" s="4" t="s">
        <v>2145</v>
      </c>
      <c r="H471" s="4" t="s">
        <v>2146</v>
      </c>
      <c r="I471" s="4" t="s">
        <v>2147</v>
      </c>
      <c r="J471" s="4" t="s">
        <v>2152</v>
      </c>
      <c r="K471" s="4" t="s">
        <v>2153</v>
      </c>
      <c r="L471" s="6" t="s">
        <v>311</v>
      </c>
    </row>
    <row r="472" spans="1:12" ht="72" customHeight="1">
      <c r="A472" s="4" t="s">
        <v>2154</v>
      </c>
      <c r="B472" s="4" t="s">
        <v>2143</v>
      </c>
      <c r="C472" s="4" t="s">
        <v>2155</v>
      </c>
      <c r="D472" s="4" t="s">
        <v>42</v>
      </c>
      <c r="E472" s="4" t="s">
        <v>33</v>
      </c>
      <c r="F472" s="4" t="s">
        <v>33</v>
      </c>
      <c r="G472" s="4" t="s">
        <v>2145</v>
      </c>
      <c r="H472" s="4" t="s">
        <v>2146</v>
      </c>
      <c r="I472" s="4" t="s">
        <v>2147</v>
      </c>
      <c r="J472" s="4" t="s">
        <v>2156</v>
      </c>
      <c r="K472" s="4" t="s">
        <v>2157</v>
      </c>
      <c r="L472" s="6" t="s">
        <v>95</v>
      </c>
    </row>
    <row r="473" spans="1:12" ht="72" customHeight="1">
      <c r="A473" s="4" t="s">
        <v>2158</v>
      </c>
      <c r="B473" s="4" t="s">
        <v>2143</v>
      </c>
      <c r="C473" s="4" t="s">
        <v>2159</v>
      </c>
      <c r="D473" s="4" t="s">
        <v>42</v>
      </c>
      <c r="E473" s="4" t="s">
        <v>33</v>
      </c>
      <c r="F473" s="4" t="s">
        <v>33</v>
      </c>
      <c r="G473" s="4" t="s">
        <v>2145</v>
      </c>
      <c r="H473" s="4" t="s">
        <v>2146</v>
      </c>
      <c r="I473" s="4" t="s">
        <v>2147</v>
      </c>
      <c r="J473" s="4" t="s">
        <v>2160</v>
      </c>
      <c r="K473" s="4" t="s">
        <v>2161</v>
      </c>
      <c r="L473" s="6" t="s">
        <v>518</v>
      </c>
    </row>
    <row r="474" spans="1:12" ht="72" customHeight="1">
      <c r="A474" s="4" t="s">
        <v>2162</v>
      </c>
      <c r="B474" s="4" t="s">
        <v>2143</v>
      </c>
      <c r="C474" s="4" t="s">
        <v>2163</v>
      </c>
      <c r="D474" s="4" t="s">
        <v>42</v>
      </c>
      <c r="E474" s="4" t="s">
        <v>33</v>
      </c>
      <c r="F474" s="4" t="s">
        <v>33</v>
      </c>
      <c r="G474" s="4" t="s">
        <v>2145</v>
      </c>
      <c r="H474" s="4" t="s">
        <v>2146</v>
      </c>
      <c r="I474" s="4" t="s">
        <v>2147</v>
      </c>
      <c r="J474" s="4" t="s">
        <v>2164</v>
      </c>
      <c r="K474" s="4" t="s">
        <v>2165</v>
      </c>
      <c r="L474" s="6" t="s">
        <v>47</v>
      </c>
    </row>
    <row r="475" spans="1:12" ht="72" customHeight="1">
      <c r="A475" s="4" t="s">
        <v>2166</v>
      </c>
      <c r="B475" s="4" t="s">
        <v>2167</v>
      </c>
      <c r="C475" s="4" t="s">
        <v>2168</v>
      </c>
      <c r="D475" s="4" t="s">
        <v>42</v>
      </c>
      <c r="E475" s="4" t="s">
        <v>33</v>
      </c>
      <c r="F475" s="4" t="s">
        <v>33</v>
      </c>
      <c r="G475" s="4" t="s">
        <v>2169</v>
      </c>
      <c r="H475" s="4" t="s">
        <v>2170</v>
      </c>
      <c r="I475" s="4" t="s">
        <v>2171</v>
      </c>
      <c r="J475" s="4" t="s">
        <v>2172</v>
      </c>
      <c r="K475" s="4" t="s">
        <v>2173</v>
      </c>
      <c r="L475" s="6" t="s">
        <v>39</v>
      </c>
    </row>
    <row r="476" spans="1:12" ht="72" customHeight="1">
      <c r="A476" s="4" t="s">
        <v>2174</v>
      </c>
      <c r="B476" s="4" t="s">
        <v>2167</v>
      </c>
      <c r="C476" s="4" t="s">
        <v>2175</v>
      </c>
      <c r="D476" s="4" t="s">
        <v>42</v>
      </c>
      <c r="E476" s="4" t="s">
        <v>33</v>
      </c>
      <c r="F476" s="4" t="s">
        <v>33</v>
      </c>
      <c r="G476" s="4" t="s">
        <v>2169</v>
      </c>
      <c r="H476" s="4" t="s">
        <v>2170</v>
      </c>
      <c r="I476" s="4" t="s">
        <v>2171</v>
      </c>
      <c r="J476" s="4" t="s">
        <v>2176</v>
      </c>
      <c r="K476" s="4" t="s">
        <v>2173</v>
      </c>
      <c r="L476" s="6" t="s">
        <v>88</v>
      </c>
    </row>
    <row r="477" spans="1:12" ht="72" customHeight="1">
      <c r="A477" s="4" t="s">
        <v>2177</v>
      </c>
      <c r="B477" s="4" t="s">
        <v>2167</v>
      </c>
      <c r="C477" s="4" t="s">
        <v>2178</v>
      </c>
      <c r="D477" s="4" t="s">
        <v>42</v>
      </c>
      <c r="E477" s="4" t="s">
        <v>33</v>
      </c>
      <c r="F477" s="4" t="s">
        <v>33</v>
      </c>
      <c r="G477" s="4" t="s">
        <v>2169</v>
      </c>
      <c r="H477" s="4" t="s">
        <v>2170</v>
      </c>
      <c r="I477" s="4" t="s">
        <v>2171</v>
      </c>
      <c r="J477" s="4" t="s">
        <v>2179</v>
      </c>
      <c r="K477" s="4" t="s">
        <v>2173</v>
      </c>
      <c r="L477" s="6" t="s">
        <v>110</v>
      </c>
    </row>
    <row r="478" spans="1:12" ht="72" customHeight="1">
      <c r="A478" s="4" t="s">
        <v>2180</v>
      </c>
      <c r="B478" s="4" t="s">
        <v>2181</v>
      </c>
      <c r="C478" s="4" t="s">
        <v>2182</v>
      </c>
      <c r="D478" s="4" t="s">
        <v>42</v>
      </c>
      <c r="E478" s="4" t="s">
        <v>33</v>
      </c>
      <c r="F478" s="4" t="s">
        <v>33</v>
      </c>
      <c r="G478" s="4" t="s">
        <v>2183</v>
      </c>
      <c r="H478" s="4" t="s">
        <v>2184</v>
      </c>
      <c r="I478" s="4" t="s">
        <v>2185</v>
      </c>
      <c r="J478" s="4" t="s">
        <v>2186</v>
      </c>
      <c r="K478" s="4" t="s">
        <v>2187</v>
      </c>
      <c r="L478" s="6" t="s">
        <v>39</v>
      </c>
    </row>
    <row r="479" spans="1:12" ht="72" customHeight="1">
      <c r="A479" s="4" t="s">
        <v>2188</v>
      </c>
      <c r="B479" s="4" t="s">
        <v>2181</v>
      </c>
      <c r="C479" s="4" t="s">
        <v>2189</v>
      </c>
      <c r="D479" s="4" t="s">
        <v>42</v>
      </c>
      <c r="E479" s="4" t="s">
        <v>33</v>
      </c>
      <c r="F479" s="4" t="s">
        <v>33</v>
      </c>
      <c r="G479" s="4" t="s">
        <v>2183</v>
      </c>
      <c r="H479" s="4" t="s">
        <v>2184</v>
      </c>
      <c r="I479" s="4" t="s">
        <v>2185</v>
      </c>
      <c r="J479" s="4" t="s">
        <v>2190</v>
      </c>
      <c r="K479" s="4" t="s">
        <v>2191</v>
      </c>
      <c r="L479" s="6" t="s">
        <v>95</v>
      </c>
    </row>
    <row r="480" spans="1:12" ht="72" customHeight="1">
      <c r="A480" s="4" t="s">
        <v>2192</v>
      </c>
      <c r="B480" s="4" t="s">
        <v>2181</v>
      </c>
      <c r="C480" s="4" t="s">
        <v>2193</v>
      </c>
      <c r="D480" s="4" t="s">
        <v>42</v>
      </c>
      <c r="E480" s="4" t="s">
        <v>33</v>
      </c>
      <c r="F480" s="4" t="s">
        <v>33</v>
      </c>
      <c r="G480" s="4" t="s">
        <v>2183</v>
      </c>
      <c r="H480" s="4" t="s">
        <v>2184</v>
      </c>
      <c r="I480" s="4" t="s">
        <v>2185</v>
      </c>
      <c r="J480" s="4" t="s">
        <v>2194</v>
      </c>
      <c r="K480" s="4" t="s">
        <v>2195</v>
      </c>
      <c r="L480" s="6" t="s">
        <v>110</v>
      </c>
    </row>
    <row r="481" spans="1:12" ht="72" customHeight="1">
      <c r="A481" s="4" t="s">
        <v>2196</v>
      </c>
      <c r="B481" s="4" t="s">
        <v>2197</v>
      </c>
      <c r="C481" s="4" t="s">
        <v>2198</v>
      </c>
      <c r="D481" s="4" t="s">
        <v>42</v>
      </c>
      <c r="E481" s="4" t="s">
        <v>33</v>
      </c>
      <c r="F481" s="4" t="s">
        <v>33</v>
      </c>
      <c r="G481" s="4" t="s">
        <v>2199</v>
      </c>
      <c r="H481" s="4" t="s">
        <v>2200</v>
      </c>
      <c r="I481" s="4" t="s">
        <v>2201</v>
      </c>
      <c r="J481" s="4" t="s">
        <v>2202</v>
      </c>
      <c r="K481" s="4" t="s">
        <v>2203</v>
      </c>
      <c r="L481" s="6" t="s">
        <v>518</v>
      </c>
    </row>
    <row r="482" spans="1:12" ht="72" customHeight="1">
      <c r="A482" s="4" t="s">
        <v>2204</v>
      </c>
      <c r="B482" s="4" t="s">
        <v>2197</v>
      </c>
      <c r="C482" s="4" t="s">
        <v>2205</v>
      </c>
      <c r="D482" s="4" t="s">
        <v>42</v>
      </c>
      <c r="E482" s="4" t="s">
        <v>33</v>
      </c>
      <c r="F482" s="4" t="s">
        <v>33</v>
      </c>
      <c r="G482" s="4" t="s">
        <v>2199</v>
      </c>
      <c r="H482" s="4" t="s">
        <v>2200</v>
      </c>
      <c r="I482" s="4" t="s">
        <v>2201</v>
      </c>
      <c r="J482" s="4" t="s">
        <v>2206</v>
      </c>
      <c r="K482" s="4" t="s">
        <v>2207</v>
      </c>
      <c r="L482" s="6" t="s">
        <v>307</v>
      </c>
    </row>
    <row r="483" spans="1:12" ht="72" customHeight="1">
      <c r="A483" s="4" t="s">
        <v>2208</v>
      </c>
      <c r="B483" s="4" t="s">
        <v>2197</v>
      </c>
      <c r="C483" s="4" t="s">
        <v>2209</v>
      </c>
      <c r="D483" s="4" t="s">
        <v>42</v>
      </c>
      <c r="E483" s="4" t="s">
        <v>33</v>
      </c>
      <c r="F483" s="4" t="s">
        <v>33</v>
      </c>
      <c r="G483" s="4" t="s">
        <v>2199</v>
      </c>
      <c r="H483" s="4" t="s">
        <v>2200</v>
      </c>
      <c r="I483" s="4" t="s">
        <v>2201</v>
      </c>
      <c r="J483" s="4" t="s">
        <v>2210</v>
      </c>
      <c r="K483" s="4" t="s">
        <v>2211</v>
      </c>
      <c r="L483" s="6" t="s">
        <v>110</v>
      </c>
    </row>
    <row r="484" spans="1:12" ht="72" customHeight="1">
      <c r="A484" s="4" t="s">
        <v>2212</v>
      </c>
      <c r="B484" s="4" t="s">
        <v>2213</v>
      </c>
      <c r="C484" s="4" t="s">
        <v>2214</v>
      </c>
      <c r="D484" s="4" t="s">
        <v>32</v>
      </c>
      <c r="E484" s="4" t="s">
        <v>33</v>
      </c>
      <c r="F484" s="4" t="s">
        <v>33</v>
      </c>
      <c r="G484" s="4" t="s">
        <v>2215</v>
      </c>
      <c r="H484" s="4" t="s">
        <v>2216</v>
      </c>
      <c r="I484" s="4" t="s">
        <v>2217</v>
      </c>
      <c r="J484" s="4" t="s">
        <v>2218</v>
      </c>
      <c r="K484" s="4" t="s">
        <v>2219</v>
      </c>
      <c r="L484" s="6" t="s">
        <v>165</v>
      </c>
    </row>
    <row r="485" spans="1:12" ht="72" customHeight="1">
      <c r="A485" s="4" t="s">
        <v>2220</v>
      </c>
      <c r="B485" s="4" t="s">
        <v>2213</v>
      </c>
      <c r="C485" s="4" t="s">
        <v>2221</v>
      </c>
      <c r="D485" s="4" t="s">
        <v>32</v>
      </c>
      <c r="E485" s="4" t="s">
        <v>33</v>
      </c>
      <c r="F485" s="4" t="s">
        <v>33</v>
      </c>
      <c r="G485" s="4" t="s">
        <v>2215</v>
      </c>
      <c r="H485" s="4" t="s">
        <v>2216</v>
      </c>
      <c r="I485" s="4" t="s">
        <v>2217</v>
      </c>
      <c r="J485" s="4" t="s">
        <v>2222</v>
      </c>
      <c r="K485" s="4" t="s">
        <v>2223</v>
      </c>
      <c r="L485" s="6" t="s">
        <v>110</v>
      </c>
    </row>
    <row r="486" spans="1:12" ht="72" customHeight="1">
      <c r="A486" s="4" t="s">
        <v>2224</v>
      </c>
      <c r="B486" s="4" t="s">
        <v>2225</v>
      </c>
      <c r="C486" s="4" t="s">
        <v>2226</v>
      </c>
      <c r="D486" s="4" t="s">
        <v>42</v>
      </c>
      <c r="E486" s="4" t="s">
        <v>33</v>
      </c>
      <c r="F486" s="4" t="s">
        <v>33</v>
      </c>
      <c r="G486" s="4" t="s">
        <v>2227</v>
      </c>
      <c r="H486" s="4" t="s">
        <v>2228</v>
      </c>
      <c r="I486" s="4" t="s">
        <v>2229</v>
      </c>
      <c r="J486" s="4" t="s">
        <v>2230</v>
      </c>
      <c r="K486" s="4" t="s">
        <v>2231</v>
      </c>
      <c r="L486" s="6" t="s">
        <v>165</v>
      </c>
    </row>
    <row r="487" spans="1:12" ht="72" customHeight="1">
      <c r="A487" s="4" t="s">
        <v>2232</v>
      </c>
      <c r="B487" s="4" t="s">
        <v>2225</v>
      </c>
      <c r="C487" s="4" t="s">
        <v>2233</v>
      </c>
      <c r="D487" s="4" t="s">
        <v>42</v>
      </c>
      <c r="E487" s="4" t="s">
        <v>33</v>
      </c>
      <c r="F487" s="4" t="s">
        <v>33</v>
      </c>
      <c r="G487" s="4" t="s">
        <v>2227</v>
      </c>
      <c r="H487" s="4" t="s">
        <v>2228</v>
      </c>
      <c r="I487" s="4" t="s">
        <v>2229</v>
      </c>
      <c r="J487" s="4" t="s">
        <v>2234</v>
      </c>
      <c r="K487" s="4" t="s">
        <v>2235</v>
      </c>
      <c r="L487" s="6" t="s">
        <v>165</v>
      </c>
    </row>
    <row r="488" spans="1:12" ht="72" customHeight="1">
      <c r="A488" s="4" t="s">
        <v>2236</v>
      </c>
      <c r="B488" s="4" t="s">
        <v>2237</v>
      </c>
      <c r="C488" s="4" t="s">
        <v>2238</v>
      </c>
      <c r="D488" s="4" t="s">
        <v>42</v>
      </c>
      <c r="E488" s="4" t="s">
        <v>33</v>
      </c>
      <c r="F488" s="4" t="s">
        <v>33</v>
      </c>
      <c r="G488" s="4" t="s">
        <v>2239</v>
      </c>
      <c r="H488" s="4" t="s">
        <v>2240</v>
      </c>
      <c r="I488" s="4" t="s">
        <v>2241</v>
      </c>
      <c r="J488" s="4" t="s">
        <v>2242</v>
      </c>
      <c r="K488" s="4" t="s">
        <v>2243</v>
      </c>
      <c r="L488" s="6" t="s">
        <v>141</v>
      </c>
    </row>
  </sheetData>
  <conditionalFormatting sqref="E2:F488">
    <cfRule type="cellIs" dxfId="0" priority="1" operator="equal">
      <formula>"Implemented; partial verification"</formula>
    </cfRule>
    <cfRule type="cellIs" dxfId="1" priority="2" operator="equal">
      <formula>"In progress (concurrent redesign)"</formula>
    </cfRule>
    <cfRule type="cellIs" dxfId="1" priority="3" operator="equal">
      <formula>"In progress"</formula>
    </cfRule>
    <cfRule type="cellIs" dxfId="2" priority="4" operator="equal">
      <formula>"Not started"</formula>
    </cfRule>
    <cfRule type="cellIs" dxfId="3" priority="5" operator="equal">
      <formula>"Passed"</formula>
    </cfRule>
  </conditionalFormatting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</hyperlinks>
  <pageMargins left="0.7" right="0.7" top="0.75" bottom="0.75" header="0.3" footer="0.3"/>
  <pageSetup fitToHeight="0" orientation="landscape"/>
  <tableParts count="1">
    <tablePart r:id="rId488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K9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style="4" customWidth="1"/>
    <col min="2" max="4" width="38.7109375" style="4" customWidth="1"/>
    <col min="5" max="11" width="45.7109375" style="4" customWidth="1"/>
  </cols>
  <sheetData>
    <row r="1" spans="1:10">
      <c r="A1" s="3" t="s">
        <v>2259</v>
      </c>
      <c r="B1" s="3" t="s">
        <v>18</v>
      </c>
      <c r="C1" s="3" t="s">
        <v>2260</v>
      </c>
      <c r="D1" s="3" t="s">
        <v>2261</v>
      </c>
      <c r="E1" s="3" t="s">
        <v>2262</v>
      </c>
      <c r="F1" s="3" t="s">
        <v>2263</v>
      </c>
      <c r="G1" s="3" t="s">
        <v>2264</v>
      </c>
      <c r="H1" s="3" t="s">
        <v>2265</v>
      </c>
      <c r="I1" s="3" t="s">
        <v>2266</v>
      </c>
      <c r="J1" s="3" t="s">
        <v>2267</v>
      </c>
    </row>
    <row r="2" spans="1:10">
      <c r="A2" s="4" t="s">
        <v>2268</v>
      </c>
      <c r="B2" s="4" t="s">
        <v>128</v>
      </c>
      <c r="C2" s="4" t="s">
        <v>2269</v>
      </c>
      <c r="D2" s="4" t="s">
        <v>134</v>
      </c>
      <c r="E2" s="4" t="s">
        <v>2270</v>
      </c>
      <c r="F2" s="4" t="s">
        <v>2271</v>
      </c>
      <c r="G2" s="4" t="s">
        <v>2272</v>
      </c>
      <c r="H2" s="4" t="s">
        <v>2273</v>
      </c>
      <c r="I2" s="4" t="s">
        <v>2274</v>
      </c>
      <c r="J2" s="4" t="s">
        <v>2275</v>
      </c>
    </row>
    <row r="3" spans="1:10">
      <c r="A3" s="4" t="s">
        <v>2276</v>
      </c>
      <c r="B3" s="4" t="s">
        <v>190</v>
      </c>
      <c r="C3" s="4" t="s">
        <v>2277</v>
      </c>
      <c r="D3" s="4" t="s">
        <v>230</v>
      </c>
      <c r="E3" s="4" t="s">
        <v>2278</v>
      </c>
      <c r="F3" s="4" t="s">
        <v>2279</v>
      </c>
      <c r="G3" s="4" t="s">
        <v>2272</v>
      </c>
      <c r="H3" s="4" t="s">
        <v>2273</v>
      </c>
      <c r="I3" s="4" t="s">
        <v>2274</v>
      </c>
      <c r="J3" s="4" t="s">
        <v>2280</v>
      </c>
    </row>
    <row r="4" spans="1:10">
      <c r="A4" s="4" t="s">
        <v>2281</v>
      </c>
      <c r="B4" s="4" t="s">
        <v>236</v>
      </c>
      <c r="C4" s="4" t="s">
        <v>2282</v>
      </c>
      <c r="D4" s="4" t="s">
        <v>241</v>
      </c>
      <c r="E4" s="4" t="s">
        <v>2283</v>
      </c>
      <c r="F4" s="4" t="s">
        <v>2284</v>
      </c>
      <c r="G4" s="4" t="s">
        <v>2272</v>
      </c>
      <c r="H4" s="4" t="s">
        <v>2273</v>
      </c>
      <c r="I4" s="4" t="s">
        <v>2285</v>
      </c>
      <c r="J4" s="4" t="s">
        <v>2286</v>
      </c>
    </row>
    <row r="5" spans="1:10">
      <c r="A5" s="4" t="s">
        <v>2287</v>
      </c>
      <c r="B5" s="4" t="s">
        <v>269</v>
      </c>
      <c r="C5" s="4" t="s">
        <v>2288</v>
      </c>
      <c r="D5" s="4" t="s">
        <v>2289</v>
      </c>
      <c r="E5" s="4" t="s">
        <v>2290</v>
      </c>
      <c r="F5" s="4" t="s">
        <v>2291</v>
      </c>
      <c r="G5" s="4" t="s">
        <v>2272</v>
      </c>
      <c r="H5" s="4" t="s">
        <v>2273</v>
      </c>
      <c r="I5" s="4" t="s">
        <v>2274</v>
      </c>
      <c r="J5" s="4" t="s">
        <v>2292</v>
      </c>
    </row>
    <row r="6" spans="1:10">
      <c r="A6" s="4" t="s">
        <v>2293</v>
      </c>
      <c r="B6" s="4" t="s">
        <v>292</v>
      </c>
      <c r="C6" s="4" t="s">
        <v>2294</v>
      </c>
      <c r="D6" s="4" t="s">
        <v>306</v>
      </c>
      <c r="E6" s="4" t="s">
        <v>2283</v>
      </c>
      <c r="F6" s="4" t="s">
        <v>2295</v>
      </c>
      <c r="G6" s="4" t="s">
        <v>2272</v>
      </c>
      <c r="H6" s="4" t="s">
        <v>2273</v>
      </c>
      <c r="I6" s="4" t="s">
        <v>2274</v>
      </c>
      <c r="J6" s="4" t="s">
        <v>2296</v>
      </c>
    </row>
    <row r="7" spans="1:10">
      <c r="A7" s="4" t="s">
        <v>2297</v>
      </c>
      <c r="B7" s="4" t="s">
        <v>325</v>
      </c>
      <c r="C7" s="4" t="s">
        <v>2298</v>
      </c>
      <c r="D7" s="4" t="s">
        <v>342</v>
      </c>
      <c r="E7" s="4" t="s">
        <v>2290</v>
      </c>
      <c r="F7" s="4" t="s">
        <v>2299</v>
      </c>
      <c r="G7" s="4" t="s">
        <v>2272</v>
      </c>
      <c r="H7" s="4" t="s">
        <v>2273</v>
      </c>
      <c r="I7" s="4" t="s">
        <v>2274</v>
      </c>
      <c r="J7" s="4" t="s">
        <v>2300</v>
      </c>
    </row>
    <row r="8" spans="1:10">
      <c r="A8" s="4" t="s">
        <v>2301</v>
      </c>
      <c r="B8" s="4" t="s">
        <v>347</v>
      </c>
      <c r="C8" s="4" t="s">
        <v>2302</v>
      </c>
      <c r="D8" s="4" t="s">
        <v>2303</v>
      </c>
      <c r="E8" s="4" t="s">
        <v>2304</v>
      </c>
      <c r="F8" s="4" t="s">
        <v>2305</v>
      </c>
      <c r="G8" s="4" t="s">
        <v>2272</v>
      </c>
      <c r="H8" s="4" t="s">
        <v>2273</v>
      </c>
      <c r="I8" s="4" t="s">
        <v>2274</v>
      </c>
      <c r="J8" s="4" t="s">
        <v>2306</v>
      </c>
    </row>
    <row r="9" spans="1:10">
      <c r="A9" s="4" t="s">
        <v>2307</v>
      </c>
      <c r="B9" s="4" t="s">
        <v>362</v>
      </c>
      <c r="C9" s="4" t="s">
        <v>2308</v>
      </c>
      <c r="D9" s="4" t="s">
        <v>368</v>
      </c>
      <c r="E9" s="4" t="s">
        <v>2309</v>
      </c>
      <c r="F9" s="4" t="s">
        <v>2310</v>
      </c>
      <c r="G9" s="4" t="s">
        <v>2272</v>
      </c>
      <c r="H9" s="4" t="s">
        <v>2273</v>
      </c>
      <c r="I9" s="4" t="s">
        <v>2274</v>
      </c>
      <c r="J9" s="4" t="s">
        <v>2311</v>
      </c>
    </row>
    <row r="10" spans="1:10">
      <c r="A10" s="4" t="s">
        <v>2312</v>
      </c>
      <c r="B10" s="4" t="s">
        <v>422</v>
      </c>
      <c r="C10" s="4" t="s">
        <v>2313</v>
      </c>
      <c r="D10" s="4" t="s">
        <v>2314</v>
      </c>
      <c r="E10" s="4" t="s">
        <v>2315</v>
      </c>
      <c r="F10" s="4" t="s">
        <v>2316</v>
      </c>
      <c r="G10" s="4" t="s">
        <v>2272</v>
      </c>
      <c r="H10" s="4" t="s">
        <v>2273</v>
      </c>
      <c r="I10" s="4" t="s">
        <v>2274</v>
      </c>
      <c r="J10" s="4" t="s">
        <v>2317</v>
      </c>
    </row>
    <row r="11" spans="1:10">
      <c r="A11" s="4" t="s">
        <v>2318</v>
      </c>
      <c r="B11" s="4" t="s">
        <v>445</v>
      </c>
      <c r="C11" s="4" t="s">
        <v>2319</v>
      </c>
      <c r="D11" s="4" t="s">
        <v>460</v>
      </c>
      <c r="E11" s="4" t="s">
        <v>2278</v>
      </c>
      <c r="F11" s="4" t="s">
        <v>2320</v>
      </c>
      <c r="G11" s="4" t="s">
        <v>2272</v>
      </c>
      <c r="H11" s="4" t="s">
        <v>2273</v>
      </c>
      <c r="I11" s="4" t="s">
        <v>2274</v>
      </c>
      <c r="J11" s="4" t="s">
        <v>2321</v>
      </c>
    </row>
    <row r="12" spans="1:10">
      <c r="A12" s="4" t="s">
        <v>2322</v>
      </c>
      <c r="B12" s="4" t="s">
        <v>477</v>
      </c>
      <c r="C12" s="4" t="s">
        <v>2323</v>
      </c>
      <c r="D12" s="4" t="s">
        <v>488</v>
      </c>
      <c r="E12" s="4" t="s">
        <v>2304</v>
      </c>
      <c r="F12" s="4" t="s">
        <v>2324</v>
      </c>
      <c r="G12" s="4" t="s">
        <v>2272</v>
      </c>
      <c r="H12" s="4" t="s">
        <v>2273</v>
      </c>
      <c r="I12" s="4" t="s">
        <v>2274</v>
      </c>
      <c r="J12" s="4" t="s">
        <v>2325</v>
      </c>
    </row>
    <row r="13" spans="1:10">
      <c r="A13" s="4" t="s">
        <v>2326</v>
      </c>
      <c r="B13" s="4" t="s">
        <v>490</v>
      </c>
      <c r="C13" s="4" t="s">
        <v>2327</v>
      </c>
      <c r="D13" s="4" t="s">
        <v>2328</v>
      </c>
      <c r="E13" s="4" t="s">
        <v>2329</v>
      </c>
      <c r="F13" s="4" t="s">
        <v>2330</v>
      </c>
      <c r="G13" s="4" t="s">
        <v>2272</v>
      </c>
      <c r="H13" s="4" t="s">
        <v>2273</v>
      </c>
      <c r="I13" s="4" t="s">
        <v>2274</v>
      </c>
      <c r="J13" s="4" t="s">
        <v>2331</v>
      </c>
    </row>
    <row r="14" spans="1:10">
      <c r="A14" s="4" t="s">
        <v>2332</v>
      </c>
      <c r="B14" s="4" t="s">
        <v>508</v>
      </c>
      <c r="C14" s="4" t="s">
        <v>2333</v>
      </c>
      <c r="D14" s="4" t="s">
        <v>513</v>
      </c>
      <c r="E14" s="4" t="s">
        <v>2278</v>
      </c>
      <c r="F14" s="4" t="s">
        <v>2334</v>
      </c>
      <c r="G14" s="4" t="s">
        <v>2272</v>
      </c>
      <c r="H14" s="4" t="s">
        <v>2273</v>
      </c>
      <c r="I14" s="4" t="s">
        <v>2285</v>
      </c>
      <c r="J14" s="4" t="s">
        <v>2335</v>
      </c>
    </row>
    <row r="15" spans="1:10">
      <c r="A15" s="4" t="s">
        <v>2336</v>
      </c>
      <c r="B15" s="4" t="s">
        <v>541</v>
      </c>
      <c r="C15" s="4" t="s">
        <v>2337</v>
      </c>
      <c r="D15" s="4" t="s">
        <v>546</v>
      </c>
      <c r="E15" s="4" t="s">
        <v>2329</v>
      </c>
      <c r="F15" s="4" t="s">
        <v>2338</v>
      </c>
      <c r="G15" s="4" t="s">
        <v>2272</v>
      </c>
      <c r="H15" s="4" t="s">
        <v>2273</v>
      </c>
      <c r="I15" s="4" t="s">
        <v>2285</v>
      </c>
      <c r="J15" s="4" t="s">
        <v>2339</v>
      </c>
    </row>
    <row r="16" spans="1:10">
      <c r="A16" s="4" t="s">
        <v>2340</v>
      </c>
      <c r="B16" s="4" t="s">
        <v>557</v>
      </c>
      <c r="C16" s="4" t="s">
        <v>2341</v>
      </c>
      <c r="D16" s="4" t="s">
        <v>2342</v>
      </c>
      <c r="E16" s="4" t="s">
        <v>2343</v>
      </c>
      <c r="F16" s="4" t="s">
        <v>2344</v>
      </c>
      <c r="G16" s="4" t="s">
        <v>2272</v>
      </c>
      <c r="H16" s="4" t="s">
        <v>2273</v>
      </c>
      <c r="I16" s="4" t="s">
        <v>2274</v>
      </c>
      <c r="J16" s="4" t="s">
        <v>2345</v>
      </c>
    </row>
    <row r="17" spans="1:10">
      <c r="A17" s="4" t="s">
        <v>2346</v>
      </c>
      <c r="B17" s="4" t="s">
        <v>591</v>
      </c>
      <c r="C17" s="4" t="s">
        <v>2347</v>
      </c>
      <c r="D17" s="4" t="s">
        <v>2348</v>
      </c>
      <c r="E17" s="4" t="s">
        <v>2304</v>
      </c>
      <c r="F17" s="4" t="s">
        <v>2349</v>
      </c>
      <c r="G17" s="4" t="s">
        <v>2272</v>
      </c>
      <c r="H17" s="4" t="s">
        <v>2273</v>
      </c>
      <c r="I17" s="4" t="s">
        <v>2274</v>
      </c>
      <c r="J17" s="4" t="s">
        <v>2350</v>
      </c>
    </row>
    <row r="18" spans="1:10">
      <c r="A18" s="4" t="s">
        <v>2351</v>
      </c>
      <c r="B18" s="4" t="s">
        <v>605</v>
      </c>
      <c r="C18" s="4" t="s">
        <v>2352</v>
      </c>
      <c r="D18" s="4" t="s">
        <v>611</v>
      </c>
      <c r="E18" s="4" t="s">
        <v>2315</v>
      </c>
      <c r="F18" s="4" t="s">
        <v>2353</v>
      </c>
      <c r="G18" s="4" t="s">
        <v>2272</v>
      </c>
      <c r="H18" s="4" t="s">
        <v>2273</v>
      </c>
      <c r="I18" s="4" t="s">
        <v>2354</v>
      </c>
      <c r="J18" s="4" t="s">
        <v>2355</v>
      </c>
    </row>
    <row r="19" spans="1:10">
      <c r="A19" s="4" t="s">
        <v>2356</v>
      </c>
      <c r="B19" s="4" t="s">
        <v>631</v>
      </c>
      <c r="C19" s="4" t="s">
        <v>2357</v>
      </c>
      <c r="D19" s="4" t="s">
        <v>637</v>
      </c>
      <c r="E19" s="4" t="s">
        <v>2304</v>
      </c>
      <c r="F19" s="4" t="s">
        <v>2358</v>
      </c>
      <c r="G19" s="4" t="s">
        <v>2272</v>
      </c>
      <c r="H19" s="4" t="s">
        <v>2273</v>
      </c>
      <c r="I19" s="4" t="s">
        <v>2285</v>
      </c>
      <c r="J19" s="4" t="s">
        <v>2359</v>
      </c>
    </row>
    <row r="20" spans="1:10">
      <c r="A20" s="4" t="s">
        <v>2360</v>
      </c>
      <c r="B20" s="4" t="s">
        <v>646</v>
      </c>
      <c r="C20" s="4" t="s">
        <v>2361</v>
      </c>
      <c r="D20" s="4" t="s">
        <v>656</v>
      </c>
      <c r="E20" s="4" t="s">
        <v>2304</v>
      </c>
      <c r="F20" s="4" t="s">
        <v>2362</v>
      </c>
      <c r="G20" s="4" t="s">
        <v>2272</v>
      </c>
      <c r="H20" s="4" t="s">
        <v>2273</v>
      </c>
      <c r="I20" s="4" t="s">
        <v>2285</v>
      </c>
      <c r="J20" s="4" t="s">
        <v>2363</v>
      </c>
    </row>
    <row r="21" spans="1:10">
      <c r="A21" s="4" t="s">
        <v>2364</v>
      </c>
      <c r="B21" s="4" t="s">
        <v>662</v>
      </c>
      <c r="C21" s="4" t="s">
        <v>2365</v>
      </c>
      <c r="D21" s="4" t="s">
        <v>673</v>
      </c>
      <c r="E21" s="4" t="s">
        <v>2329</v>
      </c>
      <c r="F21" s="4" t="s">
        <v>2366</v>
      </c>
      <c r="G21" s="4" t="s">
        <v>2272</v>
      </c>
      <c r="H21" s="4" t="s">
        <v>2273</v>
      </c>
      <c r="I21" s="4" t="s">
        <v>2285</v>
      </c>
      <c r="J21" s="4" t="s">
        <v>2367</v>
      </c>
    </row>
    <row r="22" spans="1:10">
      <c r="A22" s="4" t="s">
        <v>2368</v>
      </c>
      <c r="B22" s="4" t="s">
        <v>682</v>
      </c>
      <c r="C22" s="4" t="s">
        <v>2369</v>
      </c>
      <c r="D22" s="4" t="s">
        <v>698</v>
      </c>
      <c r="E22" s="4" t="s">
        <v>2329</v>
      </c>
      <c r="F22" s="4" t="s">
        <v>2370</v>
      </c>
      <c r="G22" s="4" t="s">
        <v>2272</v>
      </c>
      <c r="H22" s="4" t="s">
        <v>2273</v>
      </c>
      <c r="I22" s="4" t="s">
        <v>2285</v>
      </c>
      <c r="J22" s="4" t="s">
        <v>2371</v>
      </c>
    </row>
    <row r="23" spans="1:10">
      <c r="A23" s="4" t="s">
        <v>2372</v>
      </c>
      <c r="B23" s="4" t="s">
        <v>700</v>
      </c>
      <c r="C23" s="4" t="s">
        <v>2373</v>
      </c>
      <c r="D23" s="4" t="s">
        <v>706</v>
      </c>
      <c r="E23" s="4" t="s">
        <v>2290</v>
      </c>
      <c r="F23" s="4" t="s">
        <v>2374</v>
      </c>
      <c r="G23" s="4" t="s">
        <v>2272</v>
      </c>
      <c r="H23" s="4" t="s">
        <v>2273</v>
      </c>
      <c r="I23" s="4" t="s">
        <v>2285</v>
      </c>
      <c r="J23" s="4" t="s">
        <v>2375</v>
      </c>
    </row>
    <row r="24" spans="1:10">
      <c r="A24" s="4" t="s">
        <v>2376</v>
      </c>
      <c r="B24" s="4" t="s">
        <v>721</v>
      </c>
      <c r="C24" s="4" t="s">
        <v>2377</v>
      </c>
      <c r="D24" s="4" t="s">
        <v>2378</v>
      </c>
      <c r="E24" s="4" t="s">
        <v>2290</v>
      </c>
      <c r="F24" s="4" t="s">
        <v>2379</v>
      </c>
      <c r="G24" s="4" t="s">
        <v>2272</v>
      </c>
      <c r="H24" s="4" t="s">
        <v>2273</v>
      </c>
      <c r="I24" s="4" t="s">
        <v>2285</v>
      </c>
      <c r="J24" s="4" t="s">
        <v>2380</v>
      </c>
    </row>
    <row r="25" spans="1:10">
      <c r="A25" s="4" t="s">
        <v>2381</v>
      </c>
      <c r="B25" s="4" t="s">
        <v>745</v>
      </c>
      <c r="C25" s="4" t="s">
        <v>2382</v>
      </c>
      <c r="D25" s="4" t="s">
        <v>2383</v>
      </c>
      <c r="E25" s="4" t="s">
        <v>2329</v>
      </c>
      <c r="F25" s="4" t="s">
        <v>2384</v>
      </c>
      <c r="G25" s="4" t="s">
        <v>2272</v>
      </c>
      <c r="H25" s="4" t="s">
        <v>2273</v>
      </c>
      <c r="I25" s="4" t="s">
        <v>2285</v>
      </c>
      <c r="J25" s="4" t="s">
        <v>2385</v>
      </c>
    </row>
    <row r="26" spans="1:10">
      <c r="A26" s="4" t="s">
        <v>2386</v>
      </c>
      <c r="B26" s="4" t="s">
        <v>764</v>
      </c>
      <c r="C26" s="4" t="s">
        <v>2387</v>
      </c>
      <c r="D26" s="4" t="s">
        <v>2388</v>
      </c>
      <c r="E26" s="4" t="s">
        <v>2329</v>
      </c>
      <c r="F26" s="4" t="s">
        <v>2389</v>
      </c>
      <c r="G26" s="4" t="s">
        <v>2272</v>
      </c>
      <c r="H26" s="4" t="s">
        <v>2273</v>
      </c>
      <c r="I26" s="4" t="s">
        <v>2285</v>
      </c>
      <c r="J26" s="4" t="s">
        <v>2390</v>
      </c>
    </row>
    <row r="27" spans="1:10">
      <c r="A27" s="4" t="s">
        <v>2391</v>
      </c>
      <c r="B27" s="4" t="s">
        <v>781</v>
      </c>
      <c r="C27" s="4" t="s">
        <v>2392</v>
      </c>
      <c r="D27" s="4" t="s">
        <v>787</v>
      </c>
      <c r="E27" s="4" t="s">
        <v>2329</v>
      </c>
      <c r="F27" s="4" t="s">
        <v>2393</v>
      </c>
      <c r="G27" s="4" t="s">
        <v>2272</v>
      </c>
      <c r="H27" s="4" t="s">
        <v>2273</v>
      </c>
      <c r="I27" s="4" t="s">
        <v>2285</v>
      </c>
      <c r="J27" s="4" t="s">
        <v>2394</v>
      </c>
    </row>
    <row r="28" spans="1:10">
      <c r="A28" s="4" t="s">
        <v>2395</v>
      </c>
      <c r="B28" s="4" t="s">
        <v>798</v>
      </c>
      <c r="C28" s="4" t="s">
        <v>2396</v>
      </c>
      <c r="D28" s="4" t="s">
        <v>2397</v>
      </c>
      <c r="E28" s="4" t="s">
        <v>2315</v>
      </c>
      <c r="F28" s="4" t="s">
        <v>2398</v>
      </c>
      <c r="G28" s="4" t="s">
        <v>2272</v>
      </c>
      <c r="H28" s="4" t="s">
        <v>2273</v>
      </c>
      <c r="I28" s="4" t="s">
        <v>2285</v>
      </c>
      <c r="J28" s="4" t="s">
        <v>2399</v>
      </c>
    </row>
    <row r="29" spans="1:10">
      <c r="A29" s="4" t="s">
        <v>2400</v>
      </c>
      <c r="B29" s="4" t="s">
        <v>825</v>
      </c>
      <c r="C29" s="4" t="s">
        <v>2401</v>
      </c>
      <c r="D29" s="4" t="s">
        <v>831</v>
      </c>
      <c r="E29" s="4" t="s">
        <v>2283</v>
      </c>
      <c r="F29" s="4" t="s">
        <v>2402</v>
      </c>
      <c r="G29" s="4" t="s">
        <v>2272</v>
      </c>
      <c r="H29" s="4" t="s">
        <v>2273</v>
      </c>
      <c r="I29" s="4" t="s">
        <v>2285</v>
      </c>
      <c r="J29" s="4" t="s">
        <v>2403</v>
      </c>
    </row>
    <row r="30" spans="1:10">
      <c r="A30" s="4" t="s">
        <v>2404</v>
      </c>
      <c r="B30" s="4" t="s">
        <v>851</v>
      </c>
      <c r="C30" s="4" t="s">
        <v>2405</v>
      </c>
      <c r="D30" s="4" t="s">
        <v>865</v>
      </c>
      <c r="E30" s="4" t="s">
        <v>2278</v>
      </c>
      <c r="F30" s="4" t="s">
        <v>2406</v>
      </c>
      <c r="G30" s="4" t="s">
        <v>2272</v>
      </c>
      <c r="H30" s="4" t="s">
        <v>2273</v>
      </c>
      <c r="I30" s="4" t="s">
        <v>2285</v>
      </c>
      <c r="J30" s="4" t="s">
        <v>2407</v>
      </c>
    </row>
    <row r="31" spans="1:10">
      <c r="A31" s="4" t="s">
        <v>2408</v>
      </c>
      <c r="B31" s="4" t="s">
        <v>887</v>
      </c>
      <c r="C31" s="4" t="s">
        <v>2409</v>
      </c>
      <c r="D31" s="4" t="s">
        <v>904</v>
      </c>
      <c r="E31" s="4" t="s">
        <v>2278</v>
      </c>
      <c r="F31" s="4" t="s">
        <v>2410</v>
      </c>
      <c r="G31" s="4" t="s">
        <v>2272</v>
      </c>
      <c r="H31" s="4" t="s">
        <v>2273</v>
      </c>
      <c r="I31" s="4" t="s">
        <v>2274</v>
      </c>
      <c r="J31" s="4" t="s">
        <v>2411</v>
      </c>
    </row>
    <row r="32" spans="1:10">
      <c r="A32" s="4" t="s">
        <v>2412</v>
      </c>
      <c r="B32" s="4" t="s">
        <v>922</v>
      </c>
      <c r="C32" s="4" t="s">
        <v>2413</v>
      </c>
      <c r="D32" s="4" t="s">
        <v>935</v>
      </c>
      <c r="E32" s="4" t="s">
        <v>2315</v>
      </c>
      <c r="F32" s="4" t="s">
        <v>2414</v>
      </c>
      <c r="G32" s="4" t="s">
        <v>2272</v>
      </c>
      <c r="H32" s="4" t="s">
        <v>2273</v>
      </c>
      <c r="I32" s="4" t="s">
        <v>2274</v>
      </c>
      <c r="J32" s="4" t="s">
        <v>2415</v>
      </c>
    </row>
    <row r="33" spans="1:10">
      <c r="A33" s="4" t="s">
        <v>2416</v>
      </c>
      <c r="B33" s="4" t="s">
        <v>948</v>
      </c>
      <c r="C33" s="4" t="s">
        <v>2417</v>
      </c>
      <c r="D33" s="4" t="s">
        <v>965</v>
      </c>
      <c r="E33" s="4" t="s">
        <v>2315</v>
      </c>
      <c r="F33" s="4" t="s">
        <v>2418</v>
      </c>
      <c r="G33" s="4" t="s">
        <v>2272</v>
      </c>
      <c r="H33" s="4" t="s">
        <v>2273</v>
      </c>
      <c r="I33" s="4" t="s">
        <v>2274</v>
      </c>
      <c r="J33" s="4" t="s">
        <v>2419</v>
      </c>
    </row>
    <row r="34" spans="1:10">
      <c r="A34" s="4" t="s">
        <v>2420</v>
      </c>
      <c r="B34" s="4" t="s">
        <v>975</v>
      </c>
      <c r="C34" s="4" t="s">
        <v>2421</v>
      </c>
      <c r="D34" s="4" t="s">
        <v>981</v>
      </c>
      <c r="E34" s="4" t="s">
        <v>2315</v>
      </c>
      <c r="F34" s="4" t="s">
        <v>2422</v>
      </c>
      <c r="G34" s="4" t="s">
        <v>2272</v>
      </c>
      <c r="H34" s="4" t="s">
        <v>2273</v>
      </c>
      <c r="I34" s="4" t="s">
        <v>2354</v>
      </c>
      <c r="J34" s="4" t="s">
        <v>2423</v>
      </c>
    </row>
    <row r="35" spans="1:10">
      <c r="A35" s="4" t="s">
        <v>2424</v>
      </c>
      <c r="B35" s="4" t="s">
        <v>1003</v>
      </c>
      <c r="C35" s="4" t="s">
        <v>2425</v>
      </c>
      <c r="D35" s="4" t="s">
        <v>1008</v>
      </c>
      <c r="E35" s="4" t="s">
        <v>2290</v>
      </c>
      <c r="F35" s="4" t="s">
        <v>2426</v>
      </c>
      <c r="G35" s="4" t="s">
        <v>2272</v>
      </c>
      <c r="H35" s="4" t="s">
        <v>2273</v>
      </c>
      <c r="I35" s="4" t="s">
        <v>2354</v>
      </c>
      <c r="J35" s="4" t="s">
        <v>2427</v>
      </c>
    </row>
    <row r="36" spans="1:10">
      <c r="A36" s="4" t="s">
        <v>2428</v>
      </c>
      <c r="B36" s="4" t="s">
        <v>1024</v>
      </c>
      <c r="C36" s="4" t="s">
        <v>2429</v>
      </c>
      <c r="D36" s="4" t="s">
        <v>2430</v>
      </c>
      <c r="E36" s="4" t="s">
        <v>2270</v>
      </c>
      <c r="F36" s="4" t="s">
        <v>2431</v>
      </c>
      <c r="G36" s="4" t="s">
        <v>2272</v>
      </c>
      <c r="H36" s="4" t="s">
        <v>2273</v>
      </c>
      <c r="I36" s="4" t="s">
        <v>2274</v>
      </c>
      <c r="J36" s="4" t="s">
        <v>2432</v>
      </c>
    </row>
    <row r="37" spans="1:10">
      <c r="A37" s="4" t="s">
        <v>2433</v>
      </c>
      <c r="B37" s="4" t="s">
        <v>1076</v>
      </c>
      <c r="C37" s="4" t="s">
        <v>2434</v>
      </c>
      <c r="D37" s="4" t="s">
        <v>1081</v>
      </c>
      <c r="E37" s="4" t="s">
        <v>2329</v>
      </c>
      <c r="F37" s="4" t="s">
        <v>2435</v>
      </c>
      <c r="G37" s="4" t="s">
        <v>2272</v>
      </c>
      <c r="H37" s="4" t="s">
        <v>2273</v>
      </c>
      <c r="I37" s="4" t="s">
        <v>2274</v>
      </c>
      <c r="J37" s="4" t="s">
        <v>2436</v>
      </c>
    </row>
    <row r="38" spans="1:10">
      <c r="A38" s="4" t="s">
        <v>2437</v>
      </c>
      <c r="B38" s="4" t="s">
        <v>1092</v>
      </c>
      <c r="C38" s="4" t="s">
        <v>2438</v>
      </c>
      <c r="D38" s="4" t="s">
        <v>2439</v>
      </c>
      <c r="E38" s="4" t="s">
        <v>2329</v>
      </c>
      <c r="F38" s="4" t="s">
        <v>2440</v>
      </c>
      <c r="G38" s="4" t="s">
        <v>2272</v>
      </c>
      <c r="H38" s="4" t="s">
        <v>2273</v>
      </c>
      <c r="I38" s="4" t="s">
        <v>2274</v>
      </c>
      <c r="J38" s="4" t="s">
        <v>2441</v>
      </c>
    </row>
    <row r="39" spans="1:10">
      <c r="A39" s="4" t="s">
        <v>2442</v>
      </c>
      <c r="B39" s="4" t="s">
        <v>1108</v>
      </c>
      <c r="C39" s="4" t="s">
        <v>2443</v>
      </c>
      <c r="D39" s="4" t="s">
        <v>1121</v>
      </c>
      <c r="E39" s="4" t="s">
        <v>2329</v>
      </c>
      <c r="F39" s="4" t="s">
        <v>2444</v>
      </c>
      <c r="G39" s="4" t="s">
        <v>2272</v>
      </c>
      <c r="H39" s="4" t="s">
        <v>2273</v>
      </c>
      <c r="I39" s="4" t="s">
        <v>2285</v>
      </c>
      <c r="J39" s="4" t="s">
        <v>2445</v>
      </c>
    </row>
    <row r="40" spans="1:10">
      <c r="A40" s="4" t="s">
        <v>2446</v>
      </c>
      <c r="B40" s="4" t="s">
        <v>1127</v>
      </c>
      <c r="C40" s="4" t="s">
        <v>2447</v>
      </c>
      <c r="D40" s="4" t="s">
        <v>2448</v>
      </c>
      <c r="E40" s="4" t="s">
        <v>2449</v>
      </c>
      <c r="F40" s="4" t="s">
        <v>2450</v>
      </c>
      <c r="G40" s="4" t="s">
        <v>2272</v>
      </c>
      <c r="H40" s="4" t="s">
        <v>2451</v>
      </c>
      <c r="I40" s="4" t="s">
        <v>2452</v>
      </c>
      <c r="J40" s="4" t="s">
        <v>2453</v>
      </c>
    </row>
    <row r="41" spans="1:10">
      <c r="A41" s="4" t="s">
        <v>2454</v>
      </c>
      <c r="B41" s="4" t="s">
        <v>1137</v>
      </c>
      <c r="C41" s="4" t="s">
        <v>2455</v>
      </c>
      <c r="D41" s="4" t="s">
        <v>2456</v>
      </c>
      <c r="E41" s="4" t="s">
        <v>2304</v>
      </c>
      <c r="F41" s="4" t="s">
        <v>2457</v>
      </c>
      <c r="G41" s="4" t="s">
        <v>2272</v>
      </c>
      <c r="H41" s="4" t="s">
        <v>2451</v>
      </c>
      <c r="I41" s="4" t="s">
        <v>2452</v>
      </c>
      <c r="J41" s="4" t="s">
        <v>2458</v>
      </c>
    </row>
    <row r="42" spans="1:10">
      <c r="A42" s="4" t="s">
        <v>2459</v>
      </c>
      <c r="B42" s="4" t="s">
        <v>1148</v>
      </c>
      <c r="C42" s="4" t="s">
        <v>2460</v>
      </c>
      <c r="D42" s="4" t="s">
        <v>1153</v>
      </c>
      <c r="E42" s="4" t="s">
        <v>2449</v>
      </c>
      <c r="F42" s="4" t="s">
        <v>2461</v>
      </c>
      <c r="G42" s="4" t="s">
        <v>2272</v>
      </c>
      <c r="H42" s="4" t="s">
        <v>2451</v>
      </c>
      <c r="I42" s="4" t="s">
        <v>2452</v>
      </c>
      <c r="J42" s="4" t="s">
        <v>2462</v>
      </c>
    </row>
    <row r="43" spans="1:10">
      <c r="A43" s="4" t="s">
        <v>2463</v>
      </c>
      <c r="B43" s="4" t="s">
        <v>1159</v>
      </c>
      <c r="C43" s="4" t="s">
        <v>2464</v>
      </c>
      <c r="D43" s="4" t="s">
        <v>2465</v>
      </c>
      <c r="E43" s="4" t="s">
        <v>2304</v>
      </c>
      <c r="F43" s="4" t="s">
        <v>2466</v>
      </c>
      <c r="G43" s="4" t="s">
        <v>2272</v>
      </c>
      <c r="H43" s="4" t="s">
        <v>2451</v>
      </c>
      <c r="I43" s="4" t="s">
        <v>2452</v>
      </c>
      <c r="J43" s="4" t="s">
        <v>2467</v>
      </c>
    </row>
    <row r="44" spans="1:10">
      <c r="A44" s="4" t="s">
        <v>2468</v>
      </c>
      <c r="B44" s="4" t="s">
        <v>1173</v>
      </c>
      <c r="C44" s="4" t="s">
        <v>2469</v>
      </c>
      <c r="D44" s="4" t="s">
        <v>2470</v>
      </c>
      <c r="E44" s="4" t="s">
        <v>2329</v>
      </c>
      <c r="F44" s="4" t="s">
        <v>2471</v>
      </c>
      <c r="G44" s="4" t="s">
        <v>2272</v>
      </c>
      <c r="H44" s="4" t="s">
        <v>2273</v>
      </c>
      <c r="I44" s="4" t="s">
        <v>2274</v>
      </c>
      <c r="J44" s="4" t="s">
        <v>2472</v>
      </c>
    </row>
    <row r="45" spans="1:10">
      <c r="A45" s="4" t="s">
        <v>2473</v>
      </c>
      <c r="B45" s="4" t="s">
        <v>1191</v>
      </c>
      <c r="C45" s="4" t="s">
        <v>2474</v>
      </c>
      <c r="D45" s="4" t="s">
        <v>2475</v>
      </c>
      <c r="E45" s="4" t="s">
        <v>2304</v>
      </c>
      <c r="F45" s="4" t="s">
        <v>2476</v>
      </c>
      <c r="G45" s="4" t="s">
        <v>2272</v>
      </c>
      <c r="H45" s="4" t="s">
        <v>2273</v>
      </c>
      <c r="I45" s="4" t="s">
        <v>2274</v>
      </c>
      <c r="J45" s="4" t="s">
        <v>2477</v>
      </c>
    </row>
    <row r="46" spans="1:10">
      <c r="A46" s="4" t="s">
        <v>2478</v>
      </c>
      <c r="B46" s="4" t="s">
        <v>1205</v>
      </c>
      <c r="C46" s="4" t="s">
        <v>2479</v>
      </c>
      <c r="D46" s="4" t="s">
        <v>1210</v>
      </c>
      <c r="E46" s="4" t="s">
        <v>2278</v>
      </c>
      <c r="F46" s="4" t="s">
        <v>2480</v>
      </c>
      <c r="G46" s="4" t="s">
        <v>2272</v>
      </c>
      <c r="H46" s="4" t="s">
        <v>2273</v>
      </c>
      <c r="I46" s="4" t="s">
        <v>2274</v>
      </c>
      <c r="J46" s="4" t="s">
        <v>2481</v>
      </c>
    </row>
    <row r="47" spans="1:10">
      <c r="A47" s="4" t="s">
        <v>2482</v>
      </c>
      <c r="B47" s="4" t="s">
        <v>1242</v>
      </c>
      <c r="C47" s="4" t="s">
        <v>2483</v>
      </c>
      <c r="D47" s="4" t="s">
        <v>2484</v>
      </c>
      <c r="E47" s="4" t="s">
        <v>2304</v>
      </c>
      <c r="F47" s="4" t="s">
        <v>2485</v>
      </c>
      <c r="G47" s="4" t="s">
        <v>2272</v>
      </c>
      <c r="H47" s="4" t="s">
        <v>2273</v>
      </c>
      <c r="I47" s="4" t="s">
        <v>2274</v>
      </c>
      <c r="J47" s="4" t="s">
        <v>2486</v>
      </c>
    </row>
    <row r="48" spans="1:10">
      <c r="A48" s="4" t="s">
        <v>2487</v>
      </c>
      <c r="B48" s="4" t="s">
        <v>1257</v>
      </c>
      <c r="C48" s="4" t="s">
        <v>2488</v>
      </c>
      <c r="D48" s="4" t="s">
        <v>1267</v>
      </c>
      <c r="E48" s="4" t="s">
        <v>2329</v>
      </c>
      <c r="F48" s="4" t="s">
        <v>2489</v>
      </c>
      <c r="G48" s="4" t="s">
        <v>2272</v>
      </c>
      <c r="H48" s="4" t="s">
        <v>2273</v>
      </c>
      <c r="I48" s="4" t="s">
        <v>2285</v>
      </c>
      <c r="J48" s="4" t="s">
        <v>2490</v>
      </c>
    </row>
    <row r="49" spans="1:10">
      <c r="A49" s="4" t="s">
        <v>2491</v>
      </c>
      <c r="B49" s="4" t="s">
        <v>1277</v>
      </c>
      <c r="C49" s="4" t="s">
        <v>2492</v>
      </c>
      <c r="D49" s="4" t="s">
        <v>1290</v>
      </c>
      <c r="E49" s="4" t="s">
        <v>2290</v>
      </c>
      <c r="F49" s="4" t="s">
        <v>2493</v>
      </c>
      <c r="G49" s="4" t="s">
        <v>2272</v>
      </c>
      <c r="H49" s="4" t="s">
        <v>2273</v>
      </c>
      <c r="I49" s="4" t="s">
        <v>2285</v>
      </c>
      <c r="J49" s="4" t="s">
        <v>2494</v>
      </c>
    </row>
    <row r="50" spans="1:10">
      <c r="A50" s="4" t="s">
        <v>2495</v>
      </c>
      <c r="B50" s="4" t="s">
        <v>1298</v>
      </c>
      <c r="C50" s="4" t="s">
        <v>2496</v>
      </c>
      <c r="D50" s="4" t="s">
        <v>1316</v>
      </c>
      <c r="E50" s="4" t="s">
        <v>2283</v>
      </c>
      <c r="F50" s="4" t="s">
        <v>2497</v>
      </c>
      <c r="G50" s="4" t="s">
        <v>2272</v>
      </c>
      <c r="H50" s="4" t="s">
        <v>2273</v>
      </c>
      <c r="I50" s="4" t="s">
        <v>2285</v>
      </c>
      <c r="J50" s="4" t="s">
        <v>2498</v>
      </c>
    </row>
    <row r="51" spans="1:10">
      <c r="A51" s="4" t="s">
        <v>2499</v>
      </c>
      <c r="B51" s="4" t="s">
        <v>1328</v>
      </c>
      <c r="C51" s="4" t="s">
        <v>2500</v>
      </c>
      <c r="D51" s="4" t="s">
        <v>1334</v>
      </c>
      <c r="E51" s="4" t="s">
        <v>2329</v>
      </c>
      <c r="F51" s="4" t="s">
        <v>2501</v>
      </c>
      <c r="G51" s="4" t="s">
        <v>2272</v>
      </c>
      <c r="H51" s="4" t="s">
        <v>2273</v>
      </c>
      <c r="I51" s="4" t="s">
        <v>2285</v>
      </c>
      <c r="J51" s="4" t="s">
        <v>2502</v>
      </c>
    </row>
    <row r="52" spans="1:10">
      <c r="A52" s="4" t="s">
        <v>2503</v>
      </c>
      <c r="B52" s="4" t="s">
        <v>1346</v>
      </c>
      <c r="C52" s="4" t="s">
        <v>2504</v>
      </c>
      <c r="D52" s="4" t="s">
        <v>1359</v>
      </c>
      <c r="E52" s="4" t="s">
        <v>2290</v>
      </c>
      <c r="F52" s="4" t="s">
        <v>2505</v>
      </c>
      <c r="G52" s="4" t="s">
        <v>2272</v>
      </c>
      <c r="H52" s="4" t="s">
        <v>2273</v>
      </c>
      <c r="I52" s="4" t="s">
        <v>2274</v>
      </c>
      <c r="J52" s="4" t="s">
        <v>2506</v>
      </c>
    </row>
    <row r="53" spans="1:10">
      <c r="A53" s="4" t="s">
        <v>2507</v>
      </c>
      <c r="B53" s="4" t="s">
        <v>1367</v>
      </c>
      <c r="C53" s="4" t="s">
        <v>2508</v>
      </c>
      <c r="D53" s="4" t="s">
        <v>2509</v>
      </c>
      <c r="E53" s="4" t="s">
        <v>2449</v>
      </c>
      <c r="F53" s="4" t="s">
        <v>2510</v>
      </c>
      <c r="G53" s="4" t="s">
        <v>2272</v>
      </c>
      <c r="H53" s="4" t="s">
        <v>2273</v>
      </c>
      <c r="I53" s="4" t="s">
        <v>2274</v>
      </c>
      <c r="J53" s="4" t="s">
        <v>2511</v>
      </c>
    </row>
    <row r="54" spans="1:10">
      <c r="A54" s="4" t="s">
        <v>2512</v>
      </c>
      <c r="B54" s="4" t="s">
        <v>1377</v>
      </c>
      <c r="C54" s="4" t="s">
        <v>2513</v>
      </c>
      <c r="D54" s="4" t="s">
        <v>1390</v>
      </c>
      <c r="E54" s="4" t="s">
        <v>2290</v>
      </c>
      <c r="F54" s="4" t="s">
        <v>2514</v>
      </c>
      <c r="G54" s="4" t="s">
        <v>2272</v>
      </c>
      <c r="H54" s="4" t="s">
        <v>2273</v>
      </c>
      <c r="I54" s="4" t="s">
        <v>2274</v>
      </c>
      <c r="J54" s="4" t="s">
        <v>2515</v>
      </c>
    </row>
    <row r="55" spans="1:10">
      <c r="A55" s="4" t="s">
        <v>2516</v>
      </c>
      <c r="B55" s="4" t="s">
        <v>1398</v>
      </c>
      <c r="C55" s="4" t="s">
        <v>2517</v>
      </c>
      <c r="D55" s="4" t="s">
        <v>2518</v>
      </c>
      <c r="E55" s="4" t="s">
        <v>2329</v>
      </c>
      <c r="F55" s="4" t="s">
        <v>2519</v>
      </c>
      <c r="G55" s="4" t="s">
        <v>2272</v>
      </c>
      <c r="H55" s="4" t="s">
        <v>2273</v>
      </c>
      <c r="I55" s="4" t="s">
        <v>2274</v>
      </c>
      <c r="J55" s="4" t="s">
        <v>2520</v>
      </c>
    </row>
    <row r="56" spans="1:10">
      <c r="A56" s="4" t="s">
        <v>2521</v>
      </c>
      <c r="B56" s="4" t="s">
        <v>1417</v>
      </c>
      <c r="C56" s="4" t="s">
        <v>2522</v>
      </c>
      <c r="D56" s="4" t="s">
        <v>1426</v>
      </c>
      <c r="E56" s="4" t="s">
        <v>2304</v>
      </c>
      <c r="F56" s="4" t="s">
        <v>2523</v>
      </c>
      <c r="G56" s="4" t="s">
        <v>2272</v>
      </c>
      <c r="H56" s="4" t="s">
        <v>2273</v>
      </c>
      <c r="I56" s="4" t="s">
        <v>2285</v>
      </c>
      <c r="J56" s="4" t="s">
        <v>2524</v>
      </c>
    </row>
    <row r="57" spans="1:10">
      <c r="A57" s="4" t="s">
        <v>2525</v>
      </c>
      <c r="B57" s="4" t="s">
        <v>1432</v>
      </c>
      <c r="C57" s="4" t="s">
        <v>2526</v>
      </c>
      <c r="D57" s="4" t="s">
        <v>1437</v>
      </c>
      <c r="E57" s="4" t="s">
        <v>2304</v>
      </c>
      <c r="F57" s="4" t="s">
        <v>2527</v>
      </c>
      <c r="G57" s="4" t="s">
        <v>2272</v>
      </c>
      <c r="H57" s="4" t="s">
        <v>2273</v>
      </c>
      <c r="I57" s="4" t="s">
        <v>2285</v>
      </c>
      <c r="J57" s="4" t="s">
        <v>2528</v>
      </c>
    </row>
    <row r="58" spans="1:10">
      <c r="A58" s="4" t="s">
        <v>2529</v>
      </c>
      <c r="B58" s="4" t="s">
        <v>1446</v>
      </c>
      <c r="C58" s="4" t="s">
        <v>2530</v>
      </c>
      <c r="D58" s="4" t="s">
        <v>1463</v>
      </c>
      <c r="E58" s="4" t="s">
        <v>2290</v>
      </c>
      <c r="F58" s="4" t="s">
        <v>2531</v>
      </c>
      <c r="G58" s="4" t="s">
        <v>2272</v>
      </c>
      <c r="H58" s="4" t="s">
        <v>2273</v>
      </c>
      <c r="I58" s="4" t="s">
        <v>2285</v>
      </c>
      <c r="J58" s="4" t="s">
        <v>2532</v>
      </c>
    </row>
    <row r="59" spans="1:10">
      <c r="A59" s="4" t="s">
        <v>2533</v>
      </c>
      <c r="B59" s="4" t="s">
        <v>1468</v>
      </c>
      <c r="C59" s="4" t="s">
        <v>2534</v>
      </c>
      <c r="D59" s="4" t="s">
        <v>1473</v>
      </c>
      <c r="E59" s="4" t="s">
        <v>2315</v>
      </c>
      <c r="F59" s="4" t="s">
        <v>2535</v>
      </c>
      <c r="G59" s="4" t="s">
        <v>2272</v>
      </c>
      <c r="H59" s="4" t="s">
        <v>2273</v>
      </c>
      <c r="I59" s="4" t="s">
        <v>2274</v>
      </c>
      <c r="J59" s="4" t="s">
        <v>2536</v>
      </c>
    </row>
    <row r="60" spans="1:10">
      <c r="A60" s="4" t="s">
        <v>2537</v>
      </c>
      <c r="B60" s="4" t="s">
        <v>1490</v>
      </c>
      <c r="C60" s="4" t="s">
        <v>2538</v>
      </c>
      <c r="D60" s="4" t="s">
        <v>1499</v>
      </c>
      <c r="E60" s="4" t="s">
        <v>2283</v>
      </c>
      <c r="F60" s="4" t="s">
        <v>2539</v>
      </c>
      <c r="G60" s="4" t="s">
        <v>2272</v>
      </c>
      <c r="H60" s="4" t="s">
        <v>2273</v>
      </c>
      <c r="I60" s="4" t="s">
        <v>2274</v>
      </c>
      <c r="J60" s="4" t="s">
        <v>2540</v>
      </c>
    </row>
    <row r="61" spans="1:10">
      <c r="A61" s="4" t="s">
        <v>2541</v>
      </c>
      <c r="B61" s="4" t="s">
        <v>1519</v>
      </c>
      <c r="C61" s="4" t="s">
        <v>2542</v>
      </c>
      <c r="D61" s="4" t="s">
        <v>1524</v>
      </c>
      <c r="E61" s="4" t="s">
        <v>2304</v>
      </c>
      <c r="F61" s="4" t="s">
        <v>2543</v>
      </c>
      <c r="G61" s="4" t="s">
        <v>2272</v>
      </c>
      <c r="H61" s="4" t="s">
        <v>2273</v>
      </c>
      <c r="I61" s="4" t="s">
        <v>2274</v>
      </c>
      <c r="J61" s="4" t="s">
        <v>2544</v>
      </c>
    </row>
    <row r="62" spans="1:10">
      <c r="A62" s="4" t="s">
        <v>2545</v>
      </c>
      <c r="B62" s="4" t="s">
        <v>1532</v>
      </c>
      <c r="C62" s="4" t="s">
        <v>2546</v>
      </c>
      <c r="D62" s="4" t="s">
        <v>1538</v>
      </c>
      <c r="E62" s="4" t="s">
        <v>2343</v>
      </c>
      <c r="F62" s="4" t="s">
        <v>2547</v>
      </c>
      <c r="G62" s="4" t="s">
        <v>2272</v>
      </c>
      <c r="H62" s="4" t="s">
        <v>2273</v>
      </c>
      <c r="I62" s="4" t="s">
        <v>2274</v>
      </c>
      <c r="J62" s="4" t="s">
        <v>2548</v>
      </c>
    </row>
    <row r="63" spans="1:10">
      <c r="A63" s="4" t="s">
        <v>2549</v>
      </c>
      <c r="B63" s="4" t="s">
        <v>1566</v>
      </c>
      <c r="C63" s="4" t="s">
        <v>2550</v>
      </c>
      <c r="D63" s="4" t="s">
        <v>1580</v>
      </c>
      <c r="E63" s="4" t="s">
        <v>2290</v>
      </c>
      <c r="F63" s="4" t="s">
        <v>2551</v>
      </c>
      <c r="G63" s="4" t="s">
        <v>2272</v>
      </c>
      <c r="H63" s="4" t="s">
        <v>2273</v>
      </c>
      <c r="I63" s="4" t="s">
        <v>2354</v>
      </c>
      <c r="J63" s="4" t="s">
        <v>2552</v>
      </c>
    </row>
    <row r="64" spans="1:10">
      <c r="A64" s="4" t="s">
        <v>2553</v>
      </c>
      <c r="B64" s="4" t="s">
        <v>1588</v>
      </c>
      <c r="C64" s="4" t="s">
        <v>2554</v>
      </c>
      <c r="D64" s="4" t="s">
        <v>1613</v>
      </c>
      <c r="E64" s="4" t="s">
        <v>2315</v>
      </c>
      <c r="F64" s="4" t="s">
        <v>2555</v>
      </c>
      <c r="G64" s="4" t="s">
        <v>2272</v>
      </c>
      <c r="H64" s="4" t="s">
        <v>2273</v>
      </c>
      <c r="I64" s="4" t="s">
        <v>2354</v>
      </c>
      <c r="J64" s="4" t="s">
        <v>2556</v>
      </c>
    </row>
    <row r="65" spans="1:10">
      <c r="A65" s="4" t="s">
        <v>2557</v>
      </c>
      <c r="B65" s="4" t="s">
        <v>1615</v>
      </c>
      <c r="C65" s="4" t="s">
        <v>2558</v>
      </c>
      <c r="D65" s="4" t="s">
        <v>1629</v>
      </c>
      <c r="E65" s="4" t="s">
        <v>2329</v>
      </c>
      <c r="F65" s="4" t="s">
        <v>2559</v>
      </c>
      <c r="G65" s="4" t="s">
        <v>2272</v>
      </c>
      <c r="H65" s="4" t="s">
        <v>2273</v>
      </c>
      <c r="I65" s="4" t="s">
        <v>2285</v>
      </c>
      <c r="J65" s="4" t="s">
        <v>2560</v>
      </c>
    </row>
    <row r="66" spans="1:10">
      <c r="A66" s="4" t="s">
        <v>2561</v>
      </c>
      <c r="B66" s="4" t="s">
        <v>1635</v>
      </c>
      <c r="C66" s="4" t="s">
        <v>2562</v>
      </c>
      <c r="D66" s="4" t="s">
        <v>1645</v>
      </c>
      <c r="E66" s="4" t="s">
        <v>2329</v>
      </c>
      <c r="F66" s="4" t="s">
        <v>2563</v>
      </c>
      <c r="G66" s="4" t="s">
        <v>2272</v>
      </c>
      <c r="H66" s="4" t="s">
        <v>2273</v>
      </c>
      <c r="I66" s="4" t="s">
        <v>2285</v>
      </c>
      <c r="J66" s="4" t="s">
        <v>2564</v>
      </c>
    </row>
    <row r="67" spans="1:10">
      <c r="A67" s="4" t="s">
        <v>2565</v>
      </c>
      <c r="B67" s="4" t="s">
        <v>1654</v>
      </c>
      <c r="C67" s="4" t="s">
        <v>2566</v>
      </c>
      <c r="D67" s="4" t="s">
        <v>1664</v>
      </c>
      <c r="E67" s="4" t="s">
        <v>2315</v>
      </c>
      <c r="F67" s="4" t="s">
        <v>2567</v>
      </c>
      <c r="G67" s="4" t="s">
        <v>2272</v>
      </c>
      <c r="H67" s="4" t="s">
        <v>2273</v>
      </c>
      <c r="I67" s="4" t="s">
        <v>2285</v>
      </c>
      <c r="J67" s="4" t="s">
        <v>2568</v>
      </c>
    </row>
    <row r="68" spans="1:10">
      <c r="A68" s="4" t="s">
        <v>2569</v>
      </c>
      <c r="B68" s="4" t="s">
        <v>1680</v>
      </c>
      <c r="C68" s="4" t="s">
        <v>2570</v>
      </c>
      <c r="D68" s="4" t="s">
        <v>1698</v>
      </c>
      <c r="E68" s="4" t="s">
        <v>2329</v>
      </c>
      <c r="F68" s="4" t="s">
        <v>2571</v>
      </c>
      <c r="G68" s="4" t="s">
        <v>2272</v>
      </c>
      <c r="H68" s="4" t="s">
        <v>2273</v>
      </c>
      <c r="I68" s="4" t="s">
        <v>2285</v>
      </c>
      <c r="J68" s="4" t="s">
        <v>2572</v>
      </c>
    </row>
    <row r="69" spans="1:10">
      <c r="A69" s="4" t="s">
        <v>2573</v>
      </c>
      <c r="B69" s="4" t="s">
        <v>1700</v>
      </c>
      <c r="C69" s="4" t="s">
        <v>2574</v>
      </c>
      <c r="D69" s="4" t="s">
        <v>1706</v>
      </c>
      <c r="E69" s="4" t="s">
        <v>2329</v>
      </c>
      <c r="F69" s="4" t="s">
        <v>2575</v>
      </c>
      <c r="G69" s="4" t="s">
        <v>2272</v>
      </c>
      <c r="H69" s="4" t="s">
        <v>2273</v>
      </c>
      <c r="I69" s="4" t="s">
        <v>2285</v>
      </c>
      <c r="J69" s="4" t="s">
        <v>2576</v>
      </c>
    </row>
    <row r="70" spans="1:10">
      <c r="A70" s="4" t="s">
        <v>2577</v>
      </c>
      <c r="B70" s="4" t="s">
        <v>1718</v>
      </c>
      <c r="C70" s="4" t="s">
        <v>2578</v>
      </c>
      <c r="D70" s="4" t="s">
        <v>1724</v>
      </c>
      <c r="E70" s="4" t="s">
        <v>2278</v>
      </c>
      <c r="F70" s="4" t="s">
        <v>2579</v>
      </c>
      <c r="G70" s="4" t="s">
        <v>2272</v>
      </c>
      <c r="H70" s="4" t="s">
        <v>2273</v>
      </c>
      <c r="I70" s="4" t="s">
        <v>2274</v>
      </c>
      <c r="J70" s="4" t="s">
        <v>2580</v>
      </c>
    </row>
    <row r="71" spans="1:10">
      <c r="A71" s="4" t="s">
        <v>2581</v>
      </c>
      <c r="B71" s="4" t="s">
        <v>1755</v>
      </c>
      <c r="C71" s="4" t="s">
        <v>2582</v>
      </c>
      <c r="D71" s="4" t="s">
        <v>1765</v>
      </c>
      <c r="E71" s="4" t="s">
        <v>2329</v>
      </c>
      <c r="F71" s="4" t="s">
        <v>2583</v>
      </c>
      <c r="G71" s="4" t="s">
        <v>2272</v>
      </c>
      <c r="H71" s="4" t="s">
        <v>2273</v>
      </c>
      <c r="I71" s="4" t="s">
        <v>2274</v>
      </c>
      <c r="J71" s="4" t="s">
        <v>2584</v>
      </c>
    </row>
    <row r="72" spans="1:10">
      <c r="A72" s="4" t="s">
        <v>2585</v>
      </c>
      <c r="B72" s="4" t="s">
        <v>1774</v>
      </c>
      <c r="C72" s="4" t="s">
        <v>2586</v>
      </c>
      <c r="D72" s="4" t="s">
        <v>1780</v>
      </c>
      <c r="E72" s="4" t="s">
        <v>2587</v>
      </c>
      <c r="F72" s="4" t="s">
        <v>2588</v>
      </c>
      <c r="G72" s="4" t="s">
        <v>2272</v>
      </c>
      <c r="H72" s="4" t="s">
        <v>2273</v>
      </c>
      <c r="I72" s="4" t="s">
        <v>2274</v>
      </c>
      <c r="J72" s="4" t="s">
        <v>2589</v>
      </c>
    </row>
    <row r="73" spans="1:10">
      <c r="A73" s="4" t="s">
        <v>2590</v>
      </c>
      <c r="B73" s="4" t="s">
        <v>1827</v>
      </c>
      <c r="C73" s="4" t="s">
        <v>2591</v>
      </c>
      <c r="D73" s="4" t="s">
        <v>2592</v>
      </c>
      <c r="E73" s="4" t="s">
        <v>2304</v>
      </c>
      <c r="F73" s="4" t="s">
        <v>2593</v>
      </c>
      <c r="G73" s="4" t="s">
        <v>2272</v>
      </c>
      <c r="H73" s="4" t="s">
        <v>2273</v>
      </c>
      <c r="I73" s="4" t="s">
        <v>2274</v>
      </c>
      <c r="J73" s="4" t="s">
        <v>2594</v>
      </c>
    </row>
    <row r="74" spans="1:10">
      <c r="A74" s="4" t="s">
        <v>2595</v>
      </c>
      <c r="B74" s="4" t="s">
        <v>1843</v>
      </c>
      <c r="C74" s="4" t="s">
        <v>2596</v>
      </c>
      <c r="D74" s="4" t="s">
        <v>2597</v>
      </c>
      <c r="E74" s="4" t="s">
        <v>2449</v>
      </c>
      <c r="F74" s="4" t="s">
        <v>2598</v>
      </c>
      <c r="G74" s="4" t="s">
        <v>2272</v>
      </c>
      <c r="H74" s="4" t="s">
        <v>2599</v>
      </c>
      <c r="I74" s="4" t="s">
        <v>2274</v>
      </c>
    </row>
    <row r="75" spans="1:10">
      <c r="A75" s="4" t="s">
        <v>2600</v>
      </c>
      <c r="B75" s="4" t="s">
        <v>1854</v>
      </c>
      <c r="C75" s="4" t="s">
        <v>2601</v>
      </c>
      <c r="D75" s="4" t="s">
        <v>2602</v>
      </c>
      <c r="E75" s="4" t="s">
        <v>2304</v>
      </c>
      <c r="F75" s="4" t="s">
        <v>2603</v>
      </c>
      <c r="G75" s="4" t="s">
        <v>2272</v>
      </c>
      <c r="H75" s="4" t="s">
        <v>2599</v>
      </c>
      <c r="I75" s="4" t="s">
        <v>2274</v>
      </c>
    </row>
    <row r="76" spans="1:10">
      <c r="A76" s="4" t="s">
        <v>2604</v>
      </c>
      <c r="B76" s="4" t="s">
        <v>1869</v>
      </c>
      <c r="C76" s="4" t="s">
        <v>2605</v>
      </c>
      <c r="D76" s="4" t="s">
        <v>1875</v>
      </c>
      <c r="E76" s="4" t="s">
        <v>2315</v>
      </c>
      <c r="F76" s="4" t="s">
        <v>2606</v>
      </c>
      <c r="G76" s="4" t="s">
        <v>2272</v>
      </c>
      <c r="H76" s="4" t="s">
        <v>2273</v>
      </c>
      <c r="I76" s="4" t="s">
        <v>2285</v>
      </c>
      <c r="J76" s="4" t="s">
        <v>2607</v>
      </c>
    </row>
    <row r="77" spans="1:10">
      <c r="A77" s="4" t="s">
        <v>2608</v>
      </c>
      <c r="B77" s="4" t="s">
        <v>1895</v>
      </c>
      <c r="C77" s="4" t="s">
        <v>2609</v>
      </c>
      <c r="D77" s="4" t="s">
        <v>2610</v>
      </c>
      <c r="E77" s="4" t="s">
        <v>2290</v>
      </c>
      <c r="F77" s="4" t="s">
        <v>2611</v>
      </c>
      <c r="G77" s="4" t="s">
        <v>2272</v>
      </c>
      <c r="H77" s="4" t="s">
        <v>2273</v>
      </c>
      <c r="I77" s="4" t="s">
        <v>2285</v>
      </c>
      <c r="J77" s="4" t="s">
        <v>2612</v>
      </c>
    </row>
    <row r="78" spans="1:10">
      <c r="A78" s="4" t="s">
        <v>2613</v>
      </c>
      <c r="B78" s="4" t="s">
        <v>1918</v>
      </c>
      <c r="C78" s="4" t="s">
        <v>2614</v>
      </c>
      <c r="D78" s="4" t="s">
        <v>2615</v>
      </c>
      <c r="E78" s="4" t="s">
        <v>2329</v>
      </c>
      <c r="F78" s="4" t="s">
        <v>2616</v>
      </c>
      <c r="G78" s="4" t="s">
        <v>2272</v>
      </c>
      <c r="H78" s="4" t="s">
        <v>2273</v>
      </c>
      <c r="I78" s="4" t="s">
        <v>2285</v>
      </c>
      <c r="J78" s="4" t="s">
        <v>2617</v>
      </c>
    </row>
    <row r="79" spans="1:10">
      <c r="A79" s="4" t="s">
        <v>2618</v>
      </c>
      <c r="B79" s="4" t="s">
        <v>1938</v>
      </c>
      <c r="C79" s="4" t="s">
        <v>2619</v>
      </c>
      <c r="D79" s="4" t="s">
        <v>2620</v>
      </c>
      <c r="E79" s="4" t="s">
        <v>2290</v>
      </c>
      <c r="F79" s="4" t="s">
        <v>2621</v>
      </c>
      <c r="G79" s="4" t="s">
        <v>2272</v>
      </c>
      <c r="H79" s="4" t="s">
        <v>2273</v>
      </c>
      <c r="I79" s="4" t="s">
        <v>2285</v>
      </c>
      <c r="J79" s="4" t="s">
        <v>2622</v>
      </c>
    </row>
    <row r="80" spans="1:10">
      <c r="A80" s="4" t="s">
        <v>2623</v>
      </c>
      <c r="B80" s="4" t="s">
        <v>1961</v>
      </c>
      <c r="C80" s="4" t="s">
        <v>2624</v>
      </c>
      <c r="D80" s="4" t="s">
        <v>2625</v>
      </c>
      <c r="E80" s="4" t="s">
        <v>2329</v>
      </c>
      <c r="F80" s="4" t="s">
        <v>2626</v>
      </c>
      <c r="G80" s="4" t="s">
        <v>2272</v>
      </c>
      <c r="H80" s="4" t="s">
        <v>2273</v>
      </c>
      <c r="I80" s="4" t="s">
        <v>2285</v>
      </c>
      <c r="J80" s="4" t="s">
        <v>2627</v>
      </c>
    </row>
    <row r="81" spans="1:10">
      <c r="A81" s="4" t="s">
        <v>2628</v>
      </c>
      <c r="B81" s="4" t="s">
        <v>1981</v>
      </c>
      <c r="C81" s="4" t="s">
        <v>2629</v>
      </c>
      <c r="D81" s="4" t="s">
        <v>2630</v>
      </c>
      <c r="E81" s="4" t="s">
        <v>2329</v>
      </c>
      <c r="F81" s="4" t="s">
        <v>2631</v>
      </c>
      <c r="G81" s="4" t="s">
        <v>2272</v>
      </c>
      <c r="H81" s="4" t="s">
        <v>2273</v>
      </c>
      <c r="I81" s="4" t="s">
        <v>2285</v>
      </c>
      <c r="J81" s="4" t="s">
        <v>2632</v>
      </c>
    </row>
    <row r="82" spans="1:10">
      <c r="A82" s="4" t="s">
        <v>2633</v>
      </c>
      <c r="B82" s="4" t="s">
        <v>2000</v>
      </c>
      <c r="C82" s="4" t="s">
        <v>2634</v>
      </c>
      <c r="D82" s="4" t="s">
        <v>2006</v>
      </c>
      <c r="E82" s="4" t="s">
        <v>2329</v>
      </c>
      <c r="F82" s="4" t="s">
        <v>2635</v>
      </c>
      <c r="G82" s="4" t="s">
        <v>2272</v>
      </c>
      <c r="H82" s="4" t="s">
        <v>2273</v>
      </c>
      <c r="I82" s="4" t="s">
        <v>2285</v>
      </c>
      <c r="J82" s="4" t="s">
        <v>2636</v>
      </c>
    </row>
    <row r="83" spans="1:10">
      <c r="A83" s="4" t="s">
        <v>2637</v>
      </c>
      <c r="B83" s="4" t="s">
        <v>2019</v>
      </c>
      <c r="C83" s="4" t="s">
        <v>2638</v>
      </c>
      <c r="D83" s="4" t="s">
        <v>2025</v>
      </c>
      <c r="E83" s="4" t="s">
        <v>2290</v>
      </c>
      <c r="F83" s="4" t="s">
        <v>2639</v>
      </c>
      <c r="G83" s="4" t="s">
        <v>2272</v>
      </c>
      <c r="H83" s="4" t="s">
        <v>2273</v>
      </c>
      <c r="I83" s="4" t="s">
        <v>2285</v>
      </c>
      <c r="J83" s="4" t="s">
        <v>2640</v>
      </c>
    </row>
    <row r="84" spans="1:10">
      <c r="A84" s="4" t="s">
        <v>2641</v>
      </c>
      <c r="B84" s="4" t="s">
        <v>2042</v>
      </c>
      <c r="C84" s="4" t="s">
        <v>2642</v>
      </c>
      <c r="D84" s="4" t="s">
        <v>2643</v>
      </c>
      <c r="E84" s="4" t="s">
        <v>2644</v>
      </c>
      <c r="F84" s="4" t="s">
        <v>2645</v>
      </c>
      <c r="G84" s="4" t="s">
        <v>2646</v>
      </c>
      <c r="H84" s="4" t="s">
        <v>2273</v>
      </c>
      <c r="I84" s="4" t="s">
        <v>2647</v>
      </c>
      <c r="J84" s="4" t="s">
        <v>2648</v>
      </c>
    </row>
    <row r="85" spans="1:10">
      <c r="A85" s="4" t="s">
        <v>2649</v>
      </c>
      <c r="B85" s="4" t="s">
        <v>2094</v>
      </c>
      <c r="C85" s="4" t="s">
        <v>2650</v>
      </c>
      <c r="D85" s="4" t="s">
        <v>2651</v>
      </c>
      <c r="E85" s="4" t="s">
        <v>2329</v>
      </c>
      <c r="F85" s="4" t="s">
        <v>2652</v>
      </c>
      <c r="G85" s="4" t="s">
        <v>2646</v>
      </c>
      <c r="H85" s="4" t="s">
        <v>2653</v>
      </c>
      <c r="I85" s="4" t="s">
        <v>2647</v>
      </c>
    </row>
    <row r="86" spans="1:10">
      <c r="A86" s="4" t="s">
        <v>2654</v>
      </c>
      <c r="B86" s="4" t="s">
        <v>2114</v>
      </c>
      <c r="C86" s="4" t="s">
        <v>2655</v>
      </c>
      <c r="D86" s="4" t="s">
        <v>2656</v>
      </c>
      <c r="E86" s="4" t="s">
        <v>2304</v>
      </c>
      <c r="F86" s="4" t="s">
        <v>2657</v>
      </c>
      <c r="G86" s="4" t="s">
        <v>2272</v>
      </c>
      <c r="H86" s="4" t="s">
        <v>2273</v>
      </c>
      <c r="I86" s="4" t="s">
        <v>2274</v>
      </c>
      <c r="J86" s="4" t="s">
        <v>2658</v>
      </c>
    </row>
    <row r="87" spans="1:10">
      <c r="A87" s="4" t="s">
        <v>2659</v>
      </c>
      <c r="B87" s="4" t="s">
        <v>2128</v>
      </c>
      <c r="C87" s="4" t="s">
        <v>2660</v>
      </c>
      <c r="D87" s="4" t="s">
        <v>2661</v>
      </c>
      <c r="E87" s="4" t="s">
        <v>2304</v>
      </c>
      <c r="F87" s="4" t="s">
        <v>2662</v>
      </c>
      <c r="G87" s="4" t="s">
        <v>2646</v>
      </c>
      <c r="H87" s="4" t="s">
        <v>2273</v>
      </c>
      <c r="I87" s="4" t="s">
        <v>2647</v>
      </c>
      <c r="J87" s="4" t="s">
        <v>2663</v>
      </c>
    </row>
    <row r="88" spans="1:10">
      <c r="A88" s="4" t="s">
        <v>2664</v>
      </c>
      <c r="B88" s="4" t="s">
        <v>2143</v>
      </c>
      <c r="C88" s="4" t="s">
        <v>2665</v>
      </c>
      <c r="D88" s="4" t="s">
        <v>2666</v>
      </c>
      <c r="E88" s="4" t="s">
        <v>2290</v>
      </c>
      <c r="F88" s="4" t="s">
        <v>2667</v>
      </c>
      <c r="G88" s="4" t="s">
        <v>2646</v>
      </c>
      <c r="H88" s="4" t="s">
        <v>2273</v>
      </c>
      <c r="I88" s="4" t="s">
        <v>2668</v>
      </c>
      <c r="J88" s="4" t="s">
        <v>2669</v>
      </c>
    </row>
    <row r="89" spans="1:10">
      <c r="A89" s="4" t="s">
        <v>2670</v>
      </c>
      <c r="B89" s="4" t="s">
        <v>2167</v>
      </c>
      <c r="C89" s="4" t="s">
        <v>2671</v>
      </c>
      <c r="D89" s="4" t="s">
        <v>2672</v>
      </c>
      <c r="E89" s="4" t="s">
        <v>2304</v>
      </c>
      <c r="F89" s="4" t="s">
        <v>2673</v>
      </c>
      <c r="G89" s="4" t="s">
        <v>2646</v>
      </c>
      <c r="H89" s="4" t="s">
        <v>2599</v>
      </c>
      <c r="I89" s="4" t="s">
        <v>2647</v>
      </c>
    </row>
    <row r="90" spans="1:10">
      <c r="A90" s="4" t="s">
        <v>2674</v>
      </c>
      <c r="B90" s="4" t="s">
        <v>2181</v>
      </c>
      <c r="C90" s="4" t="s">
        <v>2675</v>
      </c>
      <c r="D90" s="4" t="s">
        <v>2676</v>
      </c>
      <c r="E90" s="4" t="s">
        <v>2304</v>
      </c>
      <c r="F90" s="4" t="s">
        <v>2677</v>
      </c>
      <c r="G90" s="4" t="s">
        <v>2646</v>
      </c>
      <c r="H90" s="4" t="s">
        <v>2599</v>
      </c>
      <c r="I90" s="4" t="s">
        <v>2647</v>
      </c>
    </row>
    <row r="91" spans="1:10">
      <c r="A91" s="4" t="s">
        <v>2678</v>
      </c>
      <c r="B91" s="4" t="s">
        <v>2197</v>
      </c>
      <c r="C91" s="4" t="s">
        <v>2679</v>
      </c>
      <c r="D91" s="4" t="s">
        <v>2207</v>
      </c>
      <c r="E91" s="4" t="s">
        <v>2304</v>
      </c>
      <c r="F91" s="4" t="s">
        <v>2680</v>
      </c>
      <c r="G91" s="4" t="s">
        <v>2646</v>
      </c>
      <c r="H91" s="4" t="s">
        <v>2599</v>
      </c>
      <c r="I91" s="4" t="s">
        <v>2647</v>
      </c>
    </row>
    <row r="92" spans="1:10">
      <c r="A92" s="4" t="s">
        <v>2681</v>
      </c>
      <c r="B92" s="4" t="s">
        <v>2213</v>
      </c>
      <c r="C92" s="4" t="s">
        <v>2682</v>
      </c>
      <c r="D92" s="4" t="s">
        <v>2223</v>
      </c>
      <c r="E92" s="4" t="s">
        <v>2449</v>
      </c>
      <c r="F92" s="4" t="s">
        <v>2683</v>
      </c>
      <c r="G92" s="4" t="s">
        <v>2272</v>
      </c>
      <c r="H92" s="4" t="s">
        <v>2599</v>
      </c>
      <c r="I92" s="4" t="s">
        <v>2274</v>
      </c>
    </row>
    <row r="93" spans="1:10">
      <c r="A93" s="4" t="s">
        <v>2684</v>
      </c>
      <c r="B93" s="4" t="s">
        <v>2225</v>
      </c>
      <c r="C93" s="4" t="s">
        <v>2685</v>
      </c>
      <c r="D93" s="4" t="s">
        <v>2231</v>
      </c>
      <c r="E93" s="4" t="s">
        <v>2449</v>
      </c>
      <c r="F93" s="4" t="s">
        <v>2686</v>
      </c>
      <c r="G93" s="4" t="s">
        <v>2272</v>
      </c>
      <c r="H93" s="4" t="s">
        <v>2599</v>
      </c>
      <c r="I93" s="4" t="s">
        <v>2274</v>
      </c>
    </row>
    <row r="94" spans="1:10">
      <c r="A94" s="4" t="s">
        <v>2687</v>
      </c>
      <c r="B94" s="4" t="s">
        <v>2237</v>
      </c>
      <c r="C94" s="4" t="s">
        <v>2688</v>
      </c>
      <c r="D94" s="4" t="s">
        <v>2243</v>
      </c>
      <c r="E94" s="4" t="s">
        <v>2689</v>
      </c>
      <c r="F94" s="4" t="s">
        <v>2236</v>
      </c>
      <c r="G94" s="4" t="s">
        <v>2272</v>
      </c>
      <c r="H94" s="4" t="s">
        <v>2690</v>
      </c>
      <c r="I94" s="4" t="s">
        <v>2691</v>
      </c>
    </row>
    <row r="95" spans="1:10">
      <c r="A95" s="4" t="s">
        <v>2692</v>
      </c>
      <c r="B95" s="4" t="s">
        <v>2245</v>
      </c>
      <c r="C95" s="4" t="s">
        <v>2693</v>
      </c>
      <c r="D95" s="4" t="s">
        <v>2246</v>
      </c>
      <c r="E95" s="4" t="s">
        <v>2689</v>
      </c>
      <c r="F95" s="4" t="s">
        <v>2244</v>
      </c>
      <c r="G95" s="4" t="s">
        <v>2272</v>
      </c>
      <c r="H95" s="4" t="s">
        <v>2690</v>
      </c>
      <c r="I95" s="4" t="s">
        <v>2691</v>
      </c>
    </row>
    <row r="96" spans="1:10">
      <c r="A96" s="4" t="s">
        <v>2694</v>
      </c>
      <c r="B96" s="4" t="s">
        <v>2248</v>
      </c>
      <c r="C96" s="4" t="s">
        <v>2695</v>
      </c>
      <c r="D96" s="4" t="s">
        <v>2249</v>
      </c>
      <c r="E96" s="4" t="s">
        <v>2689</v>
      </c>
      <c r="F96" s="4" t="s">
        <v>2247</v>
      </c>
      <c r="G96" s="4" t="s">
        <v>2272</v>
      </c>
      <c r="H96" s="4" t="s">
        <v>2690</v>
      </c>
      <c r="I96" s="4" t="s">
        <v>2691</v>
      </c>
    </row>
    <row r="97" spans="1:9">
      <c r="A97" s="4" t="s">
        <v>2696</v>
      </c>
      <c r="B97" s="4" t="s">
        <v>2251</v>
      </c>
      <c r="C97" s="4" t="s">
        <v>2697</v>
      </c>
      <c r="D97" s="4" t="s">
        <v>2252</v>
      </c>
      <c r="E97" s="4" t="s">
        <v>2689</v>
      </c>
      <c r="F97" s="4" t="s">
        <v>2250</v>
      </c>
      <c r="G97" s="4" t="s">
        <v>2272</v>
      </c>
      <c r="H97" s="4" t="s">
        <v>2690</v>
      </c>
      <c r="I97" s="4" t="s">
        <v>2691</v>
      </c>
    </row>
    <row r="98" spans="1:9">
      <c r="A98" s="4" t="s">
        <v>2698</v>
      </c>
      <c r="B98" s="4" t="s">
        <v>2254</v>
      </c>
      <c r="C98" s="4" t="s">
        <v>2699</v>
      </c>
      <c r="D98" s="4" t="s">
        <v>2255</v>
      </c>
      <c r="E98" s="4" t="s">
        <v>2689</v>
      </c>
      <c r="F98" s="4" t="s">
        <v>2253</v>
      </c>
      <c r="G98" s="4" t="s">
        <v>2272</v>
      </c>
      <c r="H98" s="4" t="s">
        <v>2690</v>
      </c>
      <c r="I98" s="4" t="s">
        <v>2691</v>
      </c>
    </row>
    <row r="99" spans="1:9">
      <c r="A99" s="4" t="s">
        <v>2700</v>
      </c>
      <c r="B99" s="4" t="s">
        <v>2257</v>
      </c>
      <c r="C99" s="4" t="s">
        <v>2701</v>
      </c>
      <c r="D99" s="4" t="s">
        <v>2258</v>
      </c>
      <c r="E99" s="4" t="s">
        <v>2689</v>
      </c>
      <c r="F99" s="4" t="s">
        <v>2256</v>
      </c>
      <c r="G99" s="4" t="s">
        <v>2272</v>
      </c>
      <c r="H99" s="4" t="s">
        <v>2690</v>
      </c>
      <c r="I99" s="4" t="s">
        <v>2691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Progress summary</vt:lpstr>
      <vt:lpstr>Components</vt:lpstr>
      <vt:lpstr>Work touched</vt:lpstr>
      <vt:lpstr>Routes</vt:lpstr>
      <vt:lpstr>Components!Print_Titles</vt:lpstr>
      <vt:lpstr>'Work touched'!Print_Titles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2026-09-07T13:08:24Z</dcterms:created>
  <dcterms:modified xsi:type="dcterms:W3CDTF">2026-09-07T13:08:24Z</dcterms:modified>
</cp:coreProperties>
</file>